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ease" sheetId="1" r:id="rId5"/>
    <sheet state="visible" name="Screws" sheetId="2" r:id="rId6"/>
  </sheets>
  <definedNames/>
  <calcPr/>
</workbook>
</file>

<file path=xl/sharedStrings.xml><?xml version="1.0" encoding="utf-8"?>
<sst xmlns="http://schemas.openxmlformats.org/spreadsheetml/2006/main" count="245" uniqueCount="241">
  <si>
    <t>Type</t>
  </si>
  <si>
    <t>Screw Type</t>
  </si>
  <si>
    <t>Item Description</t>
  </si>
  <si>
    <t>Vendor Link</t>
  </si>
  <si>
    <t>Quantity</t>
  </si>
  <si>
    <t>Alternative Link</t>
  </si>
  <si>
    <t>M2x4</t>
  </si>
  <si>
    <t>Unit Price</t>
  </si>
  <si>
    <t>QTY (2XC)</t>
  </si>
  <si>
    <t>M3x10 studs</t>
  </si>
  <si>
    <t>Total Price</t>
  </si>
  <si>
    <t>Bearing 683</t>
  </si>
  <si>
    <t>QTY (2XM)</t>
  </si>
  <si>
    <t>M2x6</t>
  </si>
  <si>
    <t>M3x8 studs</t>
  </si>
  <si>
    <t>Note</t>
  </si>
  <si>
    <t>Bearing 684</t>
  </si>
  <si>
    <t>M2x8</t>
  </si>
  <si>
    <t>Bearing axk0414</t>
  </si>
  <si>
    <t>M2x10</t>
  </si>
  <si>
    <t>M2.5x4</t>
  </si>
  <si>
    <t>M2.5x6</t>
  </si>
  <si>
    <t>M2.5x10</t>
  </si>
  <si>
    <t>M3x4</t>
  </si>
  <si>
    <t>M3x6 flat head</t>
  </si>
  <si>
    <t>M3x6</t>
  </si>
  <si>
    <t>M3x8 flat head</t>
  </si>
  <si>
    <t>M3x8</t>
  </si>
  <si>
    <t>M3x12 flat head</t>
  </si>
  <si>
    <t>Assembed Kit</t>
  </si>
  <si>
    <t>M3x10</t>
  </si>
  <si>
    <t>M3x14</t>
  </si>
  <si>
    <t>ToddlerBot 2.0 Fully Assembled</t>
  </si>
  <si>
    <t>M4x8</t>
  </si>
  <si>
    <t>https://shop.wowrobo.com/products/toddlerbot-2-0-assembly-version</t>
  </si>
  <si>
    <t>M4x12</t>
  </si>
  <si>
    <t>M4x20</t>
  </si>
  <si>
    <t>M4x25</t>
  </si>
  <si>
    <t>M4x30</t>
  </si>
  <si>
    <t>M4x55</t>
  </si>
  <si>
    <t>https://item.taobao.com/item.htm?ft=t&amp;id=970730280172</t>
  </si>
  <si>
    <t>Buy your own Jetson Orin NX 16G ($955), WiFi ($27.85). and Battery (~$50)</t>
  </si>
  <si>
    <t>Disclaimer</t>
  </si>
  <si>
    <t>We are not affiliated with or endorse this company in any way. We have not tested or validated the product. Any such offerings are independent of our project.</t>
  </si>
  <si>
    <t>Essentials (Highlighted are additional things to buy from 1.0 to 2.0)</t>
  </si>
  <si>
    <t xml:space="preserve">Motors
</t>
  </si>
  <si>
    <t>DYNAMIXEL 2XC430-W250-T</t>
  </si>
  <si>
    <r>
      <rPr>
        <rFont val="Arial"/>
        <color rgb="FF1155CC"/>
        <u/>
      </rPr>
      <t>DYNAMIXEL 2XC430-W250-T - ROBOTIS</t>
    </r>
  </si>
  <si>
    <t>DYNAMIXEL 2XL430-W250-T</t>
  </si>
  <si>
    <r>
      <rPr>
        <rFont val="Arial"/>
        <color rgb="FF1155CC"/>
        <u/>
      </rPr>
      <t>DYNAMIXEL 2XL430-W250-T - ROBOTIS</t>
    </r>
  </si>
  <si>
    <t>DYNAMIXEL XC330-T288-T</t>
  </si>
  <si>
    <r>
      <rPr>
        <rFont val="Arial"/>
        <color rgb="FF1155CC"/>
        <u/>
      </rPr>
      <t>DYNAMIXEL XC330-T288-T - ROBOTIS</t>
    </r>
  </si>
  <si>
    <t>DYNAMIXEL XC430-T240BB-T</t>
  </si>
  <si>
    <r>
      <rPr>
        <rFont val="Arial"/>
        <color rgb="FF1155CC"/>
        <u/>
      </rPr>
      <t>DYNAMIXEL XC430-T240BB-T - ROBOTIS</t>
    </r>
  </si>
  <si>
    <t>DYNAMIXEL XM430-W210-T</t>
  </si>
  <si>
    <r>
      <rPr>
        <rFont val="Arial"/>
        <color rgb="FF1155CC"/>
        <u/>
      </rPr>
      <t>DYNAMIXEL XM430-W210-T - ROBOTIS</t>
    </r>
  </si>
  <si>
    <t>DYNAMIXEL XM430-W350-T</t>
  </si>
  <si>
    <t>DYNAMIXEL XM430-W350-T - ROBOTIS</t>
  </si>
  <si>
    <t>DYNAMIXEL HN11-I101 Set</t>
  </si>
  <si>
    <r>
      <rPr>
        <rFont val="Arial"/>
        <color rgb="FF1155CC"/>
        <u/>
      </rPr>
      <t>HN11-I101 Set - ROBOTIS</t>
    </r>
  </si>
  <si>
    <t>DYNAMIXEL HN12-I101 Set</t>
  </si>
  <si>
    <r>
      <rPr>
        <rFont val="Arial"/>
        <color rgb="FF1155CC"/>
        <u/>
      </rPr>
      <t>HN12-I101 Set - ROBOTIS</t>
    </r>
  </si>
  <si>
    <t>$ of 2XC</t>
  </si>
  <si>
    <t>$ of 2XC+</t>
  </si>
  <si>
    <t>Parallel Gripper</t>
  </si>
  <si>
    <r>
      <rPr>
        <rFont val="Arial"/>
        <color rgb="FF1155CC"/>
        <u/>
      </rPr>
      <t>DYNAMIXEL XC330-T288-T - ROBOTIS</t>
    </r>
  </si>
  <si>
    <t>Computers</t>
  </si>
  <si>
    <t>Jetson Orin NX 16G</t>
  </si>
  <si>
    <r>
      <rPr>
        <rFont val="Arial"/>
        <color rgb="FF1155CC"/>
        <u/>
      </rPr>
      <t>NVIDIA® Jetson Orin™ NX 16GB AI Device - reComputer J4012</t>
    </r>
  </si>
  <si>
    <t>Can replace with Jetson Orin Nano if budget is tight</t>
  </si>
  <si>
    <t>M.2 CB375NF Wifi Card</t>
  </si>
  <si>
    <r>
      <rPr>
        <rFont val="Arial"/>
        <color rgb="FF1155CC"/>
        <u/>
      </rPr>
      <t>Amazon.com: AW-CB375NF Wireless NIC, 2.4G/5GHz Dual-Band WiFi 5 Supports BLE, NGFF (M.2 A/E Key) Interface, for Jetson Xavier NX/Jetson Orin NX/Jetson Orin Nano : Electronics</t>
    </r>
  </si>
  <si>
    <t>WiFi Antenna</t>
  </si>
  <si>
    <t>Amazon.com: WiFi 6E Antenna IPX MHF4 Tri-Band 6GHz 5GHz 2.4GHz Internal Laptop Wi-Fi Antennas for AX200 AX210 1675X M.2 NGFF Card : Electronics</t>
  </si>
  <si>
    <t>Sensors</t>
  </si>
  <si>
    <t>FIsheye Camera</t>
  </si>
  <si>
    <r>
      <rPr>
        <rFont val="Arial"/>
        <color rgb="FF1155CC"/>
        <u/>
      </rPr>
      <t>Amazon.com: Arducam 1080P Low Light WDR Ultra Wide Angle USB Camera Module for Computer, 2MP CMOS IMX291 160 Degree Fisheye Mini UVC USB2.0 Webcam Board with Microphone, 3.3ft Cable for Windows Linux Mac OS : Electronics</t>
    </r>
  </si>
  <si>
    <t>Phone Speaker</t>
  </si>
  <si>
    <t>https://www.amazon.com/MMOBIEL-Replacement-iPhone-Plus-Screwdriver/dp/B079Z85L4N/ref=dp_prsubs_d_sccl_1/132-0833061-5290438?pd_rd_w=wlBqy&amp;content-id=amzn1.sym.20285f2e-8a53-4f04-80ac-72a8e70f8611&amp;pf_rd_p=20285f2e-8a53-4f04-80ac-72a8e70f8611&amp;pf_rd_r=9V7JWEH51NJDYWQ4HVTC&amp;pd_rd_wg=uNfgz&amp;pd_rd_r=53bb4c4c-a21b-4321-ae0c-c34a34d57cc3&amp;pd_rd_i=B079Z85L4N&amp;psc=1</t>
  </si>
  <si>
    <r>
      <rPr>
        <rFont val="Arial"/>
        <color rgb="FF1155CC"/>
        <u/>
      </rPr>
      <t>Mmobiel Loud Speaker Compatible With Iphone Se 2022 Se 2020 | Desertcart Brunei</t>
    </r>
  </si>
  <si>
    <t>Speaker Driver</t>
  </si>
  <si>
    <r>
      <rPr>
        <rFont val="Arial"/>
        <color rgb="FF1155CC"/>
        <u/>
      </rPr>
      <t>Amazon.com: HiLetgo 3pcs M38 Wireless Bluetooth MP3 Audio Receiver Board BLT 4.2 mp3 Lossless decoder Bluetooth 4.2 Audio Receiver Board Wireless Stereo Sound Module : Electronics</t>
    </r>
  </si>
  <si>
    <t>BNO085 IMU</t>
  </si>
  <si>
    <r>
      <rPr>
        <rFont val="Arial"/>
        <color rgb="FF1155CC"/>
        <u/>
      </rPr>
      <t>Adafruit 9-DOF Orientation IMU Fusion Breakout - BNO085 (BNO080) [STEMMA QT / Qwiic] : ID 4754 : Adafruit Industries, Unique &amp; fun DIY electronics and kits</t>
    </r>
  </si>
  <si>
    <t>Hardware</t>
  </si>
  <si>
    <t>M2*6 Pre-coated Screws</t>
  </si>
  <si>
    <t>https://e.tb.cn/h.hFvWE8HfWc1pSka?tk=5rJm4l9H7bX</t>
  </si>
  <si>
    <t xml:space="preserve">It is recommended to replace all positions using this type of screw with pre-coated screws or you have to use the threadlocker </t>
  </si>
  <si>
    <t>M2 Screw Kit</t>
  </si>
  <si>
    <r>
      <rPr>
        <rFont val="Arial"/>
        <color rgb="FF1155CC"/>
        <u/>
      </rPr>
      <t>Amazon.com: Kadrick 304 Stainless Steel Screws,660 Pcs M2 Screw Assortment,Button Head Socket Cap Screws Kit,M2x4mm,6mm,8mm,10mm,12mm,16mm Metric Bolts Nuts Washers Kit with 1 Hex Allen Wrench : Industrial &amp; Scientific</t>
    </r>
  </si>
  <si>
    <t>M2.5 Screw Kit</t>
  </si>
  <si>
    <r>
      <rPr>
        <rFont val="Arial"/>
        <color rgb="FF1155CC"/>
        <u/>
      </rPr>
      <t>705 Pieces M2.5 Screws Nuts Washers Set Black, Sutemribor M2.5 x 4/6/8/10/12/16/20mm Button Head Socket Cap Screws Nuts Washers Assortment Kit, 10.9 Grade Alloy Steel, Fully Threaded: Amazon.com: Industrial &amp; Scientific</t>
    </r>
  </si>
  <si>
    <t>M3 Flat Head Screw Kit</t>
  </si>
  <si>
    <r>
      <rPr>
        <rFont val="Arial"/>
        <color rgb="FF1155CC"/>
        <u/>
      </rPr>
      <t>565 Pieces M3 Screws Nuts Washers Set Black, Sutemribor M3 x 5/6/8/10/12/16/20mm Countersunk Head Socket Cap Screws Nuts Washers Assortment Kit, 10.9 Grade Alloy Steel, Fully Threaded: Amazon.com: Industrial &amp; Scientific</t>
    </r>
  </si>
  <si>
    <t>M3*8 Set Screw</t>
  </si>
  <si>
    <r>
      <rPr>
        <rFont val="Arial"/>
        <color rgb="FF1155CC"/>
        <u/>
      </rPr>
      <t>50 Pcs M3x8mm Metric 304 Stainless Steel Hex Socket Set Flat Point Grub Screws Silver Tone for Towel Rack Door Knob （M3x8mm）: Amazon.com: Industrial &amp; Scientific</t>
    </r>
  </si>
  <si>
    <t>M3*10 Set Screw</t>
  </si>
  <si>
    <r>
      <rPr>
        <rFont val="Arial"/>
        <color rgb="FF1155CC"/>
        <u/>
      </rPr>
      <t>50 Pcs M3x10mm Metric 304 Stainless Steel Hex Socket Set Flat Point Grub Screws Silver Tone for Towel Rack Door Knob （M3x10mm）: Amazon.com: Industrial &amp; Scientific</t>
    </r>
  </si>
  <si>
    <t>M4 Screw Kit</t>
  </si>
  <si>
    <r>
      <rPr>
        <rFont val="Arial"/>
        <color rgb="FF1155CC"/>
        <u/>
      </rPr>
      <t>iexcell 675 Pcs M4 x 6/8/10/12/16/20/25/30/35/40 Alloy Steel 10.9 Grade Hex Socket Button Head Cap Screws Bolts Nuts Washers Assortment Kit, Black Oxide Finish: Amazon.com: Industrial &amp; Scientific</t>
    </r>
  </si>
  <si>
    <t>M4 Long Screw Kit</t>
  </si>
  <si>
    <r>
      <rPr>
        <rFont val="Arial"/>
        <color rgb="FF1155CC"/>
        <u/>
      </rPr>
      <t>iexcell 50 Pcs M4 x 40/45/50/55/60mm Thread Pitch 0.7 mm Stainless Steel 304 Hex Socket Head Cap Screws Bolts Assortment Kit: Amazon.com: Industrial &amp; Scientific</t>
    </r>
  </si>
  <si>
    <t>M3 and M4 Lock Nuts Kit</t>
  </si>
  <si>
    <t>182 Pieces 304 Stainless Steel Lock Nuts</t>
  </si>
  <si>
    <t>Vibra-TITE 213 Threadlocker</t>
  </si>
  <si>
    <r>
      <rPr>
        <rFont val="Arial"/>
        <color rgb="FF1155CC"/>
        <u/>
      </rPr>
      <t>Amazon.com: Vibra-TITE 213 VC-3 Threadmate Threadlocker, -65 to 165 Degree F, 5mL Tube, Red : Automotive</t>
    </r>
  </si>
  <si>
    <t>Bearing 683 10pcs</t>
  </si>
  <si>
    <r>
      <rPr>
        <rFont val="Arial"/>
        <color rgb="FF1155CC"/>
        <u/>
      </rPr>
      <t>uxcell 683-2RS Deep Groove Ball Bearing 3x7x3mm Double Sealed ABEC-3 Bearings 10-Pack: Amazon.com: Industrial &amp; Scientific</t>
    </r>
  </si>
  <si>
    <t>Bearing 684 10pcs</t>
  </si>
  <si>
    <r>
      <rPr>
        <rFont val="Arial"/>
        <color rgb="FF1155CC"/>
        <u/>
      </rPr>
      <t>684ZZ Bearing 4X9X4 mm ABEC-5 (10 PCS) Miniature 684Z Ball Bearings 684 ZZ 618/4ZZ Hobby Emax Motor Quadcopter L-940ZZ Bearing: Amazon.com: Industrial &amp; Scientific</t>
    </r>
  </si>
  <si>
    <t>Bearing AXK0414</t>
  </si>
  <si>
    <r>
      <rPr>
        <rFont val="Arial"/>
        <color rgb="FF1155CC"/>
        <u/>
      </rPr>
      <t>1Pcs Plane Thrust Needle Roller Bearing AXK0414 0515 0619 0821 1024 1226 1528 1730 2035 2542 3047 3552 4060 To 5070+2AS 2Washers - AliExpress 13</t>
    </r>
  </si>
  <si>
    <t>https://www.amazon.com/uxcell-Bearings-Diameter-Thickness-Steering/dp/B0DQ8T13KV/ref=sr_1_1?crid=VNI94SPUMXT0&amp;dib=eyJ2IjoiMSJ9.rFsQxgEm9JnaSa9PU3U_2VOC9KxY6Femaok2lP_myW7tJhNoihXE1aEB3BeDJHsr6CLQt17PnuocrIgwMVxhDFw7rmbPIkID9qK4HX9nI-9TKr1uW0feH1P8K8FblxSN6kU-fseK10-g1QN2tkcKTOs93RAcOizojgy8_KIFiuwRoLT8k6rXXKo2XNk-qP7Q5W_IGk2KEUGQ1ju1QPy0b2THkkXjWAQqZx2grfT22n0.bNuHjl66ibqEZrObb6oeDzIrjF3ifcq23tyzvBuUO8s&amp;dib_tag=se&amp;keywords=bearing+axk0414&amp;qid=1757646289&amp;sprefix=bearing+axk0414%2Caps%2C212&amp;sr=8-1</t>
  </si>
  <si>
    <t>Bushing 3*5*5 10pcs</t>
  </si>
  <si>
    <r>
      <rPr>
        <rFont val="Arial"/>
        <color rgb="FF1155CC"/>
        <u/>
      </rPr>
      <t>uxcell Sleeve Bearings 3mm Bore x 5mm OD x 5mm Length Plain Bearings Wrapped Oilless Bushings for Sliding Parts of Machinery, 10pcs: Amazon.com: Industrial &amp; Scientific</t>
    </r>
  </si>
  <si>
    <t>5mm Rubber Tape</t>
  </si>
  <si>
    <t>https://www.amazon.com/dp/B0CJRMXN3F?ref=ppx_yo2ov_dt_b_fed_asin_title&amp;th=1</t>
  </si>
  <si>
    <t>Electronics</t>
  </si>
  <si>
    <t>Step Down Power Converter 12V 4.5A</t>
  </si>
  <si>
    <r>
      <rPr>
        <rFont val="Arial"/>
        <color rgb="FF1155CC"/>
        <u/>
      </rPr>
      <t>Pololu - 12V, 4.5A Step-Down Voltage Regulator D36V50F12</t>
    </r>
  </si>
  <si>
    <t>USB to Mirco USB Cable 0.5 Feet</t>
  </si>
  <si>
    <t>https://www.amazon.com/CableCreation-Charger-Compatible-Chromecast-Android/dp/B0CGRG7F2Q/ref=sr_1_4?crid=265PO3EEKHKAR&amp;dib=eyJ2IjoiMSJ9.U4RSil9ruXMgFIgljeY3Q6d_uBhvDFjSJuavpqbS0a9CPccKTcNFi6w6xIFghysD5FF1ucUbue65Uol_txCSUczuleAnfSNfjRnUnQFi32nCiq6t2YXtS2tUd8C32p2OrBPqVWygkD1hMjaN2W-qfZRsWQjCa9KC8EvKM110cMt-d3Uw7ETe_Joi8DH7ftzEl2n-fLhgzDdfndb-E1G9VbKxczgjQniwJQgmPcXtTlP9uefYME8XhywSN1Jbtnqu2efUztJlEFENbaIRdJAw-Msp-57H1AarZMtWFM6iv24.txPMcNRqqnKc4pNSQUga3a-wL4oIckjD4_QboVi79SA&amp;dib_tag=se&amp;keywords=usb%2Bto%2Bmicro%2Busb%2Bshort%2Bguides%2B0.5ft&amp;qid=1727842141&amp;s=industrial&amp;sprefix=usb%2Bto%2Bmicro%2Busb%2Bshort%2Btguuds%2B0.5ft%2Cindustrial%2C130&amp;sr=1-4&amp;th=1</t>
  </si>
  <si>
    <t>USB to Mirco USB Cable 1.5 Feet</t>
  </si>
  <si>
    <t>https://www.amazon.com/dp/B0773N757H?ref=ppx_yo2ov_dt_b_fed_asin_title&amp;th=1</t>
  </si>
  <si>
    <t>USB Hub Port Splitter</t>
  </si>
  <si>
    <t>https://www.amazon.com/dp/B088KBGRD9?ref=ppx_yo2ov_dt_b_fed_asin_title</t>
  </si>
  <si>
    <t>Jumper Wire</t>
  </si>
  <si>
    <t>https://www.amazon.com/EDGELEC-Breadboard-Optional-Assorted-Multicolored/dp/B07GD2BWPY/ref=sr_1_1_sspa?crid=1RYVGD1NRVV4P&amp;dib=eyJ2IjoiMSJ9.I3nSspk5onl8Jong0G-0EdlCOAcGGAhXlYrx1LZqfMIcXJU8J0Uc7OTwu9IP6xCFgwYQcGn_m9BB44wYC2uzwdMJ0IBM3Kmg1LGYYRFzuzSulm8aZVuDw6ximYGTLDUGdFW1ck6P1DY98KwbzuDLWsMk5FMFBpK1HHiwUlMf7pn7By2a2OWD4uYZh5WYVPDFXCg25BudygZvNhqKuBuoDeYlyXyDBRPWctpKCqDG4Aeda6Vp8M3xYbHGdGLuDMiNNNF2QfaUQvupS5evFbGRWGTXvhRvlTYD4LZG_AcGh20.kNK6ui74Y_0AIL8537cO_3tSd4YwpnxiVf78Ac_ESB0&amp;dib_tag=se&amp;keywords=jumper%2Bwire&amp;qid=1737933139&amp;s=industrial&amp;sprefix=jumper%2Bwire%2Cindustrial%2C170&amp;sr=1-1-spons&amp;sp_csd=d2lkZ2V0TmFtZT1zcF9hdGY&amp;th=1</t>
  </si>
  <si>
    <t>JST EH Cable</t>
  </si>
  <si>
    <t>https://www.digikey.com/short/523wz1nj</t>
  </si>
  <si>
    <t>JST EH Housing</t>
  </si>
  <si>
    <t>https://www.digikey.com/short/zqh51b3r</t>
  </si>
  <si>
    <t>5 Pairs of XT30 Male and Female Plugs</t>
  </si>
  <si>
    <t>https://www.amazon.com/dp/B09LYHHS9J?ref=ppx_yo2ov_dt_b_fed_asin_title&amp;th=1</t>
  </si>
  <si>
    <t>XT30 to XT60 Male Female 4 pcs</t>
  </si>
  <si>
    <t>https://www.amazon.com/dp/B07XDTJJLV?ref=ppx_yo2ov_dt_b_fed_asin_title</t>
  </si>
  <si>
    <t>Barrel Jack Connector</t>
  </si>
  <si>
    <t>https://www.amazon.com/Terminal-5-5mm%C3%972-5mm-Connector-Surveillance-Repairs/dp/B0FD9BK96H/ref=sr_1_3?crid=2F60NRDVLQPN7&amp;dib=eyJ2IjoiMSJ9.5-G1RnXb87venjWf1jH2ygWZ4tvB5PdrSL1sZxrN_hDwu2hs_dU5f8KJHmaYSy3I2IXRdAn4B5ooT1mlo_f10GgDqXtAaUF6wR2L6WyrKEeRkr_Aty5mDEuctcO3DF67v6KQEoaUOnA6C4trr8NaRv6-ej-v7n5RLCqsb3TTLhyurho1CURIjAmWk4_7vRCj4Y5HfneOxgu8rN6OJGvvlOY53k4IR6QTTd6qeyDHTvw.NXN3J4bQA4db7vwxH7e0T3X0eR2TacAX_gzFS37jvYc&amp;dib_tag=se&amp;keywords=barrel%2Bjack%2B5.5mm%2F2.5mm%2B(aka%2BDC5525)&amp;qid=1772521825&amp;sprefix=barrel%2Bjack%2B5.5mm%2F2.5mm%2Baka%2Bdc5525%2B%2Caps%2C197&amp;sr=8-3&amp;th=1</t>
  </si>
  <si>
    <t>Rocker Switch 5 pcs</t>
  </si>
  <si>
    <t>https://www.amazon.com/dp/B0C53HD8J7?ref=ppx_yo2ov_dt_b_fed_asin_title&amp;th=1</t>
  </si>
  <si>
    <t>2000 mAh Lipo Battery</t>
  </si>
  <si>
    <t>https://www.amazon.com/dp/B0912XDRZJ?ref=nav_signin&amp;ref_=cm_sw_r_cso_cp_apin_dp_K0YA12RK2VJD3VX9DEYQ_1&amp;social_share=cm_sw_r_cso_cp_apin_dp_K0YA12RK2VJD3VX9DEYQ_1&amp;starsLeft=1&amp;skipTwisterOG=1&amp;th=1</t>
  </si>
  <si>
    <t>Lipo Battery Voltage Tester</t>
  </si>
  <si>
    <t>https://www.amazon.com/dp/B07DC3LH9C?ref=ppx_yo2ov_dt_b_fed_asin_title</t>
  </si>
  <si>
    <t>Lipo Battery Balance Charger</t>
  </si>
  <si>
    <t>https://www.amazon.com/dp/B09XC91BWJ?ref=ppx_yo2ov_dt_b_fed_asin_title</t>
  </si>
  <si>
    <t>14 AWG Power Extension Cable</t>
  </si>
  <si>
    <t>https://www.amazon.com/Electrical-Conductor-Flexible-Parallel-Extension/dp/B088RDY284/ref=sr_1_4?crid=2SOVP35WN176N&amp;dib=eyJ2IjoiMSJ9.rppuY68xdvrdrwBSW6ZDhgt3ycxmtZugSrSZ5mKwunA-xdD8tLj1Bni16MADIRdcbx8VsNOFDZzLm3j6-Iu60RcNV_P9kVL0fH7I3DrClzb94tNGcjnnQ832wjXC0aJ-qn35ZhtS-EyIusXxESXZR76l_t0OTtSmeM7WRFRiC_uyCh5xgyd1Ug9Zot1Xz-ha4vu6se5h69qW5T0slAjoHZfMLDUo8dhUsRTACv0eXGLMarSRxiV2pNLVJGa-Xohsa4AJJYFppJOXr3la3bM52_xAFM7rk1O66Rh5lp9Rava-qQXUTIEE3JFSWfltvq7bk2aN2thwyTkQzLSOgYL7vJAc6BawkFhj2Zhje6Xcbks.Yc3mgM3EtdHqYM5pnWNfMOObBFWlDdpFtZsrUYJtA7g&amp;dib_tag=se&amp;keywords=100FT%2B14%2F2%2BGauge%2BRed%2BBlack%2BCable%2BHookup%2BElectrical%2BWire%2C%2B14AWG%2B2%2BConductor&amp;qid=1738573061&amp;s=industrial&amp;sprefix=100ft%2B14%2F2%2Bgauge%2Bred%2Bblack%2Bcable%2Bhookup%2Belectrical%2Bwire%2C%2B14awg%2B2%2Bconductor%2Cindustrial%2C143&amp;sr=1-4&amp;th=1</t>
  </si>
  <si>
    <t>Materials</t>
  </si>
  <si>
    <t>PLA-CF 1KG</t>
  </si>
  <si>
    <t>https://us.store.bambulab.com/collections/carbon-fiber/products/pla-cf?variant=41003202248840</t>
  </si>
  <si>
    <t>PLA 1KG</t>
  </si>
  <si>
    <t>https://us.store.bambulab.com/products/pla-basic-filament</t>
  </si>
  <si>
    <t>2XC</t>
  </si>
  <si>
    <t>2XM</t>
  </si>
  <si>
    <t>Tools</t>
  </si>
  <si>
    <t>3D-Printing</t>
  </si>
  <si>
    <t>Bambu Lab X1-Carbon Combo 3D Printer</t>
  </si>
  <si>
    <t>https://us.store.bambulab.com/products/x1-carbon-combo</t>
  </si>
  <si>
    <t>Bambu Smooth PEI Plate</t>
  </si>
  <si>
    <t>https://us.store.bambulab.com/products/bambu-smooth-pei-plate</t>
  </si>
  <si>
    <t>Liquid Glue for Build Plate</t>
  </si>
  <si>
    <t>https://us.store.bambulab.com/products/liquid-glue-for-build-plate?_pos=2&amp;_sid=7c0e9c004&amp;_ss=r</t>
  </si>
  <si>
    <t>Anti-vibration Foot</t>
  </si>
  <si>
    <t>https://us.store.bambulab.com/products/anti-vibration-feet-for-p1p</t>
  </si>
  <si>
    <t>Power</t>
  </si>
  <si>
    <t>30V 10A Power Supply</t>
  </si>
  <si>
    <t>https://www.amazon.com/Programmable-Precision-Multiple-Protection-Software/dp/B0928LX2D1/ref=sr_1_28?crid=1VEM9Z6VQ74GV&amp;dib=eyJ2IjoiMSJ9.GSFAAMOvhrCf3MbGOtDPyoYir5gEoj1BaGGfeOYL_ULGjHj071QN20LucGBJIEps.-5hNfIryb7Lckm_QEGRcdGCaQ8BLc-fIKNd040I0bzI&amp;dib_tag=se&amp;keywords=digital%2Bdc%2Bpower%2Bsupply&amp;qid=1727842316&amp;s=industrial&amp;sprefix=digital%2Bdc%2Bpower%2Bsupply%2B%2Cindustrial%2C135&amp;sr=1-28&amp;th=1</t>
  </si>
  <si>
    <t>Banana Plug Cables</t>
  </si>
  <si>
    <t>https://www.amazon.com/Sumnacon-Multimeter-Crocodile-Alligator-Stackable/dp/B071SL6PQS/ref=pd_bxgy_img_d_sccl_1/147-9037378-6374821?pd_rd_w=MjarT&amp;content-id=amzn1.sym.839d7715-b862-4989-8f65-c6f9502d15f9&amp;pf_rd_p=839d7715-b862-4989-8f65-c6f9502d15f9&amp;pf_rd_r=0SRB716VNAMCEJWJHTRA&amp;pd_rd_wg=pi1IR&amp;pd_rd_r=0218e540-c617-4a6c-ad45-4a9ba90a469a&amp;pd_rd_i=B071SL6PQS&amp;th=1</t>
  </si>
  <si>
    <t>Screwdriver Kit</t>
  </si>
  <si>
    <t>https://www.amazon.com/dp/B0BLMQ8BXB?starsLeft=1&amp;ref_=cm_sw_r_cso_cp_apin_dp_RDJBS7WAX5ERNPW5P4YK</t>
  </si>
  <si>
    <t>Precision Screwdriver Kit</t>
  </si>
  <si>
    <t>https://www.amazon.com/HOTO-Screwdriver-Precision-Rechargeable-Electronics/dp/B09MR5HFPB?ref_=ast_sto_dp</t>
  </si>
  <si>
    <t>Allen Key Set</t>
  </si>
  <si>
    <t>https://www.amazon.com/Edward-Tools-Piece-Short-Wrench/dp/B09PC433HS/ref=sr_1_7?crid=3I9XH54X7VALF&amp;dib=eyJ2IjoiMSJ9.QOqDT66xdwtGzvBR4FSUX2VMpMWMYBGqbwcFt-zrcxpFv9vUnd8WGpsZSuRHr-80E-YDpa9NoEDbjOMatHn61XeyVM6QCJJdCO0_kXbkUlw6Efkn2uolq6RGKbFwwmvbSM41drnht8Ua1M4lmI1qsVIzCPcfB9fQGfWWXoFMd2mv3om3YhgFGcw9if71D1nJD6q1d8Fm3ZZ9ARemAhAwhAqO6eA8lfuJ17Sa3zrjNZWw_NSkGe6nuH1fLTP_kiX3PPMnqz4hsnavc6LaNffL6mxE-T4kpB45Xm7l50JJlm71OLdUpKxfk26f2Ro9FL2OXoB7Ypn-pqZvt498p8F5QeyjMBJ0Crdr0vOC-nVa-Dk.8wuI1o_hk71IbmptIMwK4aq17Ytg_qiN1lQMOTgPb0o&amp;dib_tag=se&amp;keywords=allen+key+set+short&amp;qid=1737934656&amp;s=hi&amp;sprefix=allen+key+set+shor%2Ctools%2C219&amp;sr=1-7</t>
  </si>
  <si>
    <t>Pliers</t>
  </si>
  <si>
    <t>https://www.amazon.com/Professional-Cutters-Diagonal-Repairing-Crafting/dp/B07R8JLJVR/ref=sr_1_17?crid=3THJCRSFCVPKC&amp;dib=eyJ2IjoiMSJ9.A9R_gdtQ80zowyvP23hdzUedGcKnLPYeLy9LNXuWaRA5ApTT7QScZrR0s6tQ6OVmp-7ddWKH-0mbl6aZ21eBPfz-NwBlDZh6zKb_z6UOGhMCwzorjyrPcXC8IP0429gpioYUjkax7F_REOiM7101pqpDenNuk6ndblzPXf-BA4300w0pw3rxGbWH3plEt63eChf5svlOqz07UqEYEHMWmTHz0eRggbarsyTcdfO34-i7epj-8Z1NnnOARVsI1Gtvka5FIHMVpA6ehplC74Ms3ZO3XBJso30U5ED9wrrsMak.VzCoTG4byxzrUxvdQryVkZ5U81rLnURrpGGQUty8UMg&amp;dib_tag=se&amp;keywords=precision+pliers&amp;qid=1710796385&amp;sprefix=precision+pliers%2Caps%2C158&amp;sr=8-17</t>
  </si>
  <si>
    <t>Caliper Digital</t>
  </si>
  <si>
    <t>https://www.amazon.com/Measuring-Stainless-Micrometer-Fraction-Household/dp/B0BF9LW56V/ref=sr_1_3?crid=3CZ258SFWS5H4&amp;dib=eyJ2IjoiMSJ9.l_rkEqW0UT64XiuWX4z8dpef6oZBk7soVlpaVFiPdwjAQ-0QIFbKk87k1FAci5rZUcNBmxjjVydGHAZjR-ettViEqY-4EECeedw3HRxt25ipdaGUQxTSlMMwUpoLuG3D9Fk07EyO03JI7E2j4_djysYHbHy8bqWkAOwLJ2xTrcLEwJ9gbnEtW2YM0NuZOLZVabESh0I87_qzV-qY1I32GGAyB7rxxNxAeJvzGs0Mb2w.4yQs0b-ETb1fjKpQqzjRiyH6ggM8dAmUHsJ-txZxkww&amp;dib_tag=se&amp;keywords=Digital%2Bcaliper&amp;qid=1710625415&amp;sprefix=digital%2Bcaliper%2Caps%2C154&amp;sr=8-3&amp;th=1</t>
  </si>
  <si>
    <t>Double Sided Tape</t>
  </si>
  <si>
    <t>https://www.amazon.com/BYUEE-30-Yards-Adhesive-Scrapbooking-Wrapping/dp/B07MZQC1T2/ref=sr_1_8?crid=3996905MZK1DW&amp;dib=eyJ2IjoiMSJ9.62tqSyaGLDgnuCh0lRId4QUoOCgo39K85qTmyWq-oXKqwMHtRnRMqp1COZpNTGxyFiVyZWmj6L9dx18G1DjauKKVPd6zyipvZf4hgZcxdxsEGWuu6lCoIfpTMpXaqQhHelGd4_FCP5qpxf-mzAaXeczKbwL1HLryivyRGLVIrqbBaYgW0J55zanpogf873OLnGjPk0I6j-cvx4KTkrOWHUNzmCe06pc83Y9Co-YO1kQPLPxMIRlAkjUb46jtlyYoSl97wrgLwwz7zIzHyD_NBwoKAJUS_9yX291JNes2V2w.2q1i_x5IWh7-wySjVAtP9zvVS62K-njhtudhY-0RoDA&amp;dib_tag=se&amp;keywords=double%2Bsided%2Btape%2Bthin&amp;qid=1731304721&amp;s=hi&amp;sprefix=double%2Bsided%2Btape%2Bthin%2Ctools%2C170&amp;sr=1-8&amp;th=1</t>
  </si>
  <si>
    <t>Soldering</t>
  </si>
  <si>
    <t>Automatic Wire Stripper</t>
  </si>
  <si>
    <t>https://www.amazon.com/VCELINK-Automatic-Stripper-Professional-Adjustable/dp/B08G48R47N/ref=sr_1_12_sspa?crid=18OUIUHXFJC71&amp;dib=eyJ2IjoiMSJ9.dz2NFdq5AMM6e03TI3wLk80veI6Nb3n1-DkE9N7qTJ5caJu4-Mn2bRayPOlO2ZHOH-NTbeoH76kRp47ZfKsEvmF6oYlr1fQccm7d9rWqPZpJj2oLwIKzScGd-7rIV6IWFiVHFbfSrQgzUPtsIOdXGxel4oh6zKB52Vr7TWXVv62IbQYA1VS1JjhVLljhDSwx2wpJAx-TOev2snCSL5BvIYkgkFDTRvB5yqlr5yOqBGNHDuR79ucaXTRvtFG65a0AfHNtSCwS9xN31ajXC28WkEBYWw566xrgN0F_bbKnqT0.oP43OdIPh6tPIdVdRAlNcJr_ftH2ydZTUcdiIGqHjjU&amp;dib_tag=se&amp;keywords=cable%2Bstripper&amp;qid=1738573249&amp;sprefix=cable%2Bstripper%2Caps%2C274&amp;sr=8-12-spons&amp;sp_csd=d2lkZ2V0TmFtZT1zcF9tdGY&amp;th=1</t>
  </si>
  <si>
    <t>Soldering Tweezer</t>
  </si>
  <si>
    <t>https://www.amazon.com/Precision-Anti-Static-Electronics-Sodlering%EF%BC%8CJewelry-Laboratory/dp/B0BHP5S82C/ref=sr_1_1_sspa?crid=291KQ280YLKDE&amp;dib=eyJ2IjoiMSJ9.-a9KT1ELIX7rf4ozhvHqPh5GSYRSeT0AKJFVzLhZqC14c9TlXzhWF5bqEq7sR_EVDaJBoMlvx5fLUNafH0WHZkia_r4O_egxgdZLuTC_bP2CyrttNyRQvh9yaytzyPg7zrEwU_QDslAzyteRuEb8iwtjzGVhWN9MzIYmJ3lABGc_Ul4pqq5rSG5eB3y-nZMqBbXXoV-1m-9QRUn3w8fxxnEkkjNfESkRhgHd752ARWamwjQETEMlPJ1N8SQ0MSsllCO455aWq5nRo4dYF2E9MS6-M3o-fhqV2ZL1e5AsNsI.l3rIUm5eqdrvwVkb2on4MOwvEPKIgU0jtPIxLH0zP5g&amp;dib_tag=se&amp;keywords=tweezer%2Bsolder&amp;qid=1710654732&amp;sprefix=tweezer%2Bsolder%2Caps%2C148&amp;sr=8-1-spons&amp;sp_csd=d2lkZ2V0TmFtZT1zcF9hdGY&amp;th=1</t>
  </si>
  <si>
    <t>Soldering Brass</t>
  </si>
  <si>
    <t>https://www.amazon.com/Weller-WLACCBSH-02-Soldering-Cleaner-Silicone/dp/B08FQBS97L/ref=sr_1_1_sspa?crid=3SBTRQ60M1JAX&amp;dib=eyJ2IjoiMSJ9.7HS_h2MOGPtjxHiO7U-PvBPQweWt_anYgMOBXJKWFf32sCRZuE8rw60Uci3YKzlBSaRbFst9cDjR5KahXI0pyc8p8C2Ppsjx6WzUgzzaemd_N4xUI5HQDZ71FYWpA-JlZNgZDEuibjYwrtgsUQl2ICRipNbyV5rCssHHm2Fz0YpYRCd0aMLQ4l4V1oAv0je6Y1NwB4DXM6q5bTCb0irWc6AmntxjDQNL0xDnPmNABHuzG30RPUIObJLFVWJz-JN-tXpPh4Z6C1LlXmycv7z6vdGbrB-UnyNRbGk_aQaoI_E.igeWcfaEOEiHlHw2rLfG_oxCRm6hpSCoiVyLcKpATjc&amp;dib_tag=se&amp;keywords=solder%2Bcleaner%2Bbrass&amp;qid=1710654858&amp;sprefix=solder%2Bclearn%2Caps%2C151&amp;sr=8-1-spons&amp;sp_csd=d2lkZ2V0TmFtZT1zcF9hdGY&amp;th=1</t>
  </si>
  <si>
    <t>Soldering Station</t>
  </si>
  <si>
    <t>https://www.amazon.com/gp/product/B07XC9VV2C/ref=ppx_yo_dt_b_search_asin_title?ie=UTF8&amp;th=1</t>
  </si>
  <si>
    <t>Black Silicone Repair Mat</t>
  </si>
  <si>
    <t>https://www.amazon.com/gp/product/B08RXMDKWX/ref=ppx_yo_dt_b_search_asin_title?ie=UTF8&amp;th=1</t>
  </si>
  <si>
    <t>Heat Shrink Tube</t>
  </si>
  <si>
    <t>https://www.amazon.com/Ginsco-580-pcs-Assorted-Sleeving/dp/B01MFA3OFA/ref=sr_1_3?crid=43XKJ1YVOEK4&amp;dib=eyJ2IjoiMSJ9.afAtOFc0AWv7IewHnY-SsrP5q0gjhaeFyGoua3fAno4labJK5-d6L-_fBrMVcN0vvcE_zPv9DmmeQ3P0sIKinFBdKCox4IxPh9l58_b90CD0o2EmRxl7MGSArbrdAog8iZ0rcZHqkl96tvjYLXIrgjtUnd-pPT2DQU_p8Wwf5gLA4lBD0BzKLi5WUxvCPvUuOY3lqqFVwXncQYqppNe3HeSJ5ClxfQfWlqCzGgu7Mx4.wvg7WH3AE9_vHhxyLkJDgljIhq3jjK6cvmlzLRNnSeA&amp;dib_tag=se&amp;keywords=heat+shrink+tubing&amp;qid=1737934827&amp;sprefix=heat+shrin%2Caps%2C252&amp;sr=8-3</t>
  </si>
  <si>
    <t>Heat Shrink Butt Connectors 100 pcs</t>
  </si>
  <si>
    <t>https://www.amazon.com/gp/product/B07GDDKJ1D/ref=ppx_yo_dt_b_search_asin_title?ie=UTF8&amp;th=1</t>
  </si>
  <si>
    <t>Helping Hands Soldering</t>
  </si>
  <si>
    <t>https://www.amazon.com/gp/product/B07MDKXNPC/ref=ppx_yo_dt_b_search_asin_title?ie=UTF8&amp;th=1</t>
  </si>
  <si>
    <t>60/40 Tin Lead Solder Wire</t>
  </si>
  <si>
    <t>https://www.amazon.com/gp/product/B07BGTSWYB/ref=ppx_yo_dt_b_search_asin_title?ie=UTF8&amp;th=1</t>
  </si>
  <si>
    <t>Additional Features</t>
  </si>
  <si>
    <t>Safety Stand</t>
  </si>
  <si>
    <t>20 Set 4040 Connector</t>
  </si>
  <si>
    <t>https://www.amazon.com/4040-Connector-Corner-Reinforcing-20/dp/B0BS6MG9D5/ref=sr_1_1_sspa?crid=1DG0MET0K366U&amp;dib=eyJ2IjoiMSJ9.Ge-xRkocDU9AxBHuXxM1VcLQKp7TMHDpTNOJWPxKoBMhsp5W_9MIwjJ1WoItJ550Xcz7uV1KSEOLeOs2YoskBHCIdH0jFfQ9l2DhZr_Ur1RJScrFTVOsOuQRpkAwTeNnCKnvGYSEz8Wry2s88W4_qii7S21DIQPaeCmaIyMSiNhkfcc4PoVnAxQS7jGQ51SBaDH77ix9zwzEZIsdjnqDuicJvLAVNjn8VbN5y1suiuM.bdX6LRMAi4L1dK92LhPJBJPHuWh734OG1KDjJMB0PE4&amp;dib_tag=se&amp;keywords=20%2BSet%2B4040%2BConnector&amp;qid=1738372733&amp;sprefix=20%2Bset%2B4040%2Bconnector%2Caps%2C219&amp;sr=8-1-spons&amp;sp_csd=d2lkZ2V0TmFtZT1zcF9hdGY&amp;th=1</t>
  </si>
  <si>
    <t>4040 Aluminum Extrusion 500mm</t>
  </si>
  <si>
    <t>https://www.amazon.com/Seekliny-Aluminum-Extrusion-T-Slotted-Accessories/dp/B0CP1XF8XM/ref=sr_1_1_sspa?crid=9E67O5VPVKB5&amp;dib=eyJ2IjoiMSJ9.I5MbF9pxHjPlwv3lgQiE1P8mzqp3L-kiRpj42TurRFxEnvVU_5BgRI_HoKvBFd86ee0bVntkMcPArc6s-2dfILzMzmC42oiU3rKaQk2q3W7tuM35ajfou2L6oGcYGcAs-hlerzeK_cZfLTlSNAGLOwEvu2dsUXx4s9qaVGQWXp2I_HJ4IzeVts1KMesw1Boa5-VE_PtTs9kiJmXV-i13m9rbhYqvrBmwMwxYqIC3iAU.9WpiLlNsqAaED8wCKq25LVCeIe07L5O844Df2wvfGA4&amp;dib_tag=se&amp;keywords=4040%2Baluminum%2Bextrusion%2B1pc&amp;qid=1738365050&amp;sprefix=4040%2Baluminum%2Bextrusion%2B1pc%2Caps%2C157&amp;sr=8-1-spons&amp;sp_csd=d2lkZ2V0TmFtZT1zcF9hdGY&amp;th=1</t>
  </si>
  <si>
    <t xml:space="preserve">M5 T-Nuts Screws Kit 200pcs </t>
  </si>
  <si>
    <t>https://www.amazon.com/Aluminum-Extrusion-Hexagon-Sliding-Washers/dp/B0C4JTL1MP/ref=sr_1_7_sspa?crid=17UQQUAW3ADJI&amp;dib=eyJ2IjoiMSJ9.STkkBYxj5nXqEqf-j3kkcV39ECbOO83TbJ4YZYd8D3WWSQPuIeO3KXjNL1wgj3vyJABKVzL6j6ZAshEeY012lUnweWhcMo5AzkkOmbVTYc9ZipuviNA11x1ZMe7Eez2ewGRXisDRRLLMbkgcwBdfsHHIKVtwysFYAoWc3gRfY2gNUrEMD6rfJXm460M0BvJ8W28tuDLqIvOSaI8JRgfYcy6chQiyFRsHYGhlLPdMrtA.5eJxZCmh0U9xGzoGvp_x-QHOSvn-Qkmb1NXjMS2MAio&amp;dib_tag=se&amp;keywords=2020%2Bseries%2Bm5%2Bsliding%2Bt%2Bnuts&amp;qid=1738372645&amp;sprefix=2020%2BSeries%2Bm5%2Caps%2C139&amp;sr=8-7-spons&amp;sp_csd=d2lkZ2V0TmFtZT1zcF9tdGY&amp;th=1</t>
  </si>
  <si>
    <t>2020 Aluminum Extrusion 100mm</t>
  </si>
  <si>
    <t>https://www.amazon.com/European-Standard-Anodized-Aluminum-Extrusion/dp/B09JSN97Y9/ref=sr_1_3?crid=1Z3GBJWAHAG7O&amp;dib=eyJ2IjoiMSJ9.tipcGPZaiGsYWRIZBogqVZkA627UtF-bhsNOU8rbzyg4w-4gsm42wkKWJLImNjXqGqS3nNNfy797r-pqu7Jgh9V-uvZn68HBnR5V-BcOZDAwu28RhUSXpwLaxkoj8iJq16zPfAA2Dyou03horbQTGGBovJ_haFJUnQQp12Ojr-5bV7c1N62-gNdqN2E-WyOmdy5lC_2_pZZxkhDJlRnXTlDAvFVJ5Yk0lR795mtGJeU.av_0alfMoq6a8-FbbZ_ochj0_eNr3q9iMNbnewIPq1Q&amp;dib_tag=se&amp;keywords=2020%2Bextrusion%2B100mm&amp;qid=1738372819&amp;sprefix=2020%2Bextrusion%2B100mm%2Caps%2C189&amp;sr=8-3&amp;th=1</t>
  </si>
  <si>
    <t>Teleoperation</t>
  </si>
  <si>
    <t>https://www.robotis.us/dynamixel-2xl430-w250-t/</t>
  </si>
  <si>
    <t xml:space="preserve">DYNAMIXEL XC430-T240BB-T </t>
  </si>
  <si>
    <t>https://www.robotis.us/dynamixel-xc430-t240bb-t/</t>
  </si>
  <si>
    <t>Dynamixel U2D2 USB Comm Module</t>
  </si>
  <si>
    <t>https://www.robotis.us/u2d2/</t>
  </si>
  <si>
    <t>Dynamixel U2D2 Power Hub Board Set</t>
  </si>
  <si>
    <t>https://www.robotis.us/u2d2-power-hub-board-set/?srsltid=AfmBOorqr2W_TiaY-FTKoh5u3evm1mb-_V--NK_BizxAXwZzdGcWUiGB</t>
  </si>
  <si>
    <t>Breadboard Kit</t>
  </si>
  <si>
    <t>https://www.amazon.com/ELEGOO-Breadboard-Solderless-Breadboards-Electronics/dp/B0CYPVMK9J/ref=sr_1_9?crid=3HCILZ7OQN6DR&amp;dib=eyJ2IjoiMSJ9.b1ZeHUlkFSvPfix-RdR1hml-qYlLWfFEdQlzxiQ3vZB2RqfZyycEgk3-VH6-oyRtQSNZtekesYIoka5oLp7G6n98sA95rx7Lsi1zpU0yf0GMwi_i-JIg4UER1bmwwEuBGunsenE5UqyDfQZYhQ2ves8mcL9NaqJxqj7P0QXmuJbOqbHfw88tL5vjHgNOR8vABwU5KnLiiaDrTCEn3-tU5m62BQ-7a5v5IFV9hQ_sTzS1wp9REJk8Sy7eM74-nHyoIgXo0My_wlwX-G58jBQ2eXbxxktyAuWFWlwpP-aJDcA.6UwZY3eFdIbFxrBz1qXc43YtjWIzYoUyCkSJpGjbWm8&amp;dib_tag=se&amp;keywords=bread+board&amp;qid=1723145385&amp;sprefix=bread+boar%2Caps%2C144&amp;sr=8-9</t>
  </si>
  <si>
    <t>LilyGo T-Display S3</t>
  </si>
  <si>
    <t>https://www.amazon.com/dp/B09J112YR7?ref=ppx_yo2ov_dt_b_fed_asin_title&amp;th=1</t>
  </si>
  <si>
    <t>Round Force Sensitive Resistor (FSR)</t>
  </si>
  <si>
    <t>https://www.adafruit.com/product/5475</t>
  </si>
  <si>
    <t>Resistor Kit</t>
  </si>
  <si>
    <t>https://www.amazon.com/BOJACK-Values-Resistor-Resistors-Assortment/dp/B08FD1XVL6/ref=sr_1_3?crid=35SCE5A556UK5&amp;dib=eyJ2IjoiMSJ9.HDBbky-6Kjku9CW9EH5ql22hd_MQFsWK3wPfJi4PblWknX6HWa4rfBePVcVoQM_jew5muVz2gzkbgKNiBt6JuS41D3XGgsoY0DN0ykccx_VHSj0DVhf3Gzf6scUTgqY0b7qJO17Yiq1u1XXm9-LWoXf5A8lbLrJ3PQvV29ImlekfTye6emPv93zlmCWu63cS5hvSchtvCc3d984vMBT-okwweAJ64MEc1HfKJUBIDrv11MwELx2G_Zbe-6QcG1lyomR-_5wjTrWUQ8ZhVSqKyopUZocbU_Poq1KwHj_jRaw.A7S5k8pUjkjPriHgaUYLPnElWmdYu6ZCSeQkszGwzJA&amp;dib_tag=se&amp;keywords=resistors%2Bassortment%2Bkit&amp;qid=1710652327&amp;s=industrial&amp;sprefix=resistor%2Cindustrial%2C149&amp;sr=1-3&amp;th=1</t>
  </si>
  <si>
    <t>E stop Switch</t>
  </si>
  <si>
    <t>https://www.amazon.com/dp/B09B2441R7?ref=ppx_yo2ov_dt_b_fed_asin_title</t>
  </si>
  <si>
    <t>Rog Ally X</t>
  </si>
  <si>
    <t>https://www.bestbuy.com/site/asus-rog-ally-x-7-120hz-fhd-1080p-gaming-handheld-amd-ryzen-z1-extreme-processor-24gb-with-1tb-ssd-black/6583218.p?skuId=6583218</t>
  </si>
  <si>
    <t>Battery</t>
  </si>
  <si>
    <t>21700 Cell</t>
  </si>
  <si>
    <t>https://mabdelectronics.com/products/samsung-21700-50s-25a-5000mah-battery?variant=44357994479862&amp;currency=USD&amp;utm_medium=product_sync&amp;utm_source=google&amp;utm_content=sag_organic&amp;utm_campaign=sag_organic&amp;cmp_id=20308645334&amp;adg_id=&amp;kwd=&amp;device=c&amp;gad_source=1&amp;gclid=CjwKCAjw5mwBhBtEiwAFHDZx6hriZlmc_Q6T8jg8UVxz_LJ8z9YC9bO20Di5tjcPy2IE5Kj4H8wexoCHgUQAvD_BwE</t>
  </si>
  <si>
    <t>21700 Battery Holder</t>
  </si>
  <si>
    <t>https://www.amazon.com/dp/B0BSDC7L9T?ref=ppx_yo2ov_dt_b_fed_asin_title</t>
  </si>
  <si>
    <t>JST XH balancing plug</t>
  </si>
  <si>
    <t>https://www.amazon.com/Connector-pre-crimped-Housing-Adapter-Compatible/dp/B08G188ZQ8/ref=sr_1_1?crid=RWIBKRTBC7SG&amp;dib=eyJ2IjoiMSJ9.JzKW86pxNhe1eSdbGNfwP9HDMG2zdUa6-O5FcY8FOIBmLjGzyJXWw00H4BXUTcjC_GaH4Mk6nP7IkOnUnlknjBIVdZXhT0wrCe-W-cwCMD2J-mK3UmDPpPJxuqPtlrK0pIZTHQyuH8MFPbYIgMgRrHJKI_AqdqtpMvPCBnsMot5korqQ7ezkxnntxHkTLXx4RR_TDfBeYIubJSoPBFEefLKoYW2ywwrhFwCG--j1kIM.PIxvf3xX1Db6PnuSmNqNfy5JhEGSa1ReQuOjxJUhOg8&amp;dib_tag=se&amp;keywords=jst%2Bxh%2Bprecrimped%2Bkit&amp;qid=1756096992&amp;sprefix=jst%2Bxh%2Bprecrimped%2Bki%2Caps%2C196&amp;sr=8-1&amp;th=1</t>
  </si>
  <si>
    <t>SysID</t>
  </si>
  <si>
    <t>Portable Bench Clamp</t>
  </si>
  <si>
    <t>https://www.amazon.com/dp/B09ZKF5WR7?ref=ppx_yo2ov_dt_b_fed_asin_title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</si>
</sst>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6">
    <font>
      <sz val="10.0"/>
      <color rgb="FF000000"/>
      <name val="Arial"/>
      <scheme val="minor"/>
    </font>
    <font>
      <b/>
      <color theme="1"/>
      <name val="Arial"/>
      <scheme val="minor"/>
    </font>
    <font>
      <b/>
      <sz val="8.0"/>
      <color rgb="FF000000"/>
      <name val="&quot;Helvetica Neue&quot;"/>
    </font>
    <font>
      <b/>
      <color theme="1"/>
      <name val="Arial"/>
    </font>
    <font>
      <sz val="8.0"/>
      <color rgb="FF000000"/>
      <name val="&quot;Helvetica Neue&quot;"/>
    </font>
    <font>
      <b/>
      <sz val="8.0"/>
      <color theme="1"/>
      <name val="Helvetica Neue"/>
    </font>
    <font>
      <sz val="8.0"/>
      <color theme="1"/>
      <name val="Helvetica Neue"/>
    </font>
    <font>
      <color theme="1"/>
      <name val="Arial"/>
    </font>
    <font>
      <u/>
      <color rgb="FF0000FF"/>
      <name val="Arial"/>
    </font>
    <font>
      <u/>
      <color rgb="FF1155CC"/>
      <name val="Arial"/>
    </font>
    <font>
      <u/>
      <color rgb="FF1155CC"/>
      <name val="Arial"/>
    </font>
    <font>
      <color rgb="FF0F1111"/>
      <name val="Arial"/>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0000FF"/>
      <name val="Arial"/>
    </font>
    <font>
      <b/>
      <sz val="10.0"/>
      <color theme="1"/>
      <name val="Arial"/>
    </font>
    <font>
      <u/>
      <color rgb="FF1155CC"/>
      <name val="Arial"/>
    </font>
    <font>
      <u/>
      <color rgb="FF1155CC"/>
      <name val="Arial"/>
    </font>
    <font>
      <u/>
      <color rgb="FF0000FF"/>
      <name val="Arial"/>
    </font>
    <font>
      <color theme="1"/>
      <name val="Arial"/>
      <scheme val="minor"/>
    </font>
    <font>
      <u/>
      <color rgb="FF0000FF"/>
    </font>
    <font>
      <b/>
      <sz val="11.0"/>
      <color theme="1"/>
      <name val="Arial"/>
    </font>
  </fonts>
  <fills count="7">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s>
  <borders count="9">
    <border/>
    <border>
      <left style="thin">
        <color rgb="FF000000"/>
      </left>
      <right style="thin">
        <color rgb="FF000000"/>
      </right>
      <top style="thin">
        <color rgb="FF000000"/>
      </top>
      <bottom style="thin">
        <color rgb="FF000000"/>
      </bottom>
    </border>
    <border>
      <left style="medium">
        <color rgb="FFB7B7B7"/>
      </left>
      <top style="medium">
        <color rgb="FFB7B7B7"/>
      </top>
    </border>
    <border>
      <right style="medium">
        <color rgb="FFB7B7B7"/>
      </right>
      <top style="medium">
        <color rgb="FFB7B7B7"/>
      </top>
    </border>
    <border>
      <left style="medium">
        <color rgb="FFB7B7B7"/>
      </left>
    </border>
    <border>
      <right style="medium">
        <color rgb="FFB7B7B7"/>
      </right>
    </border>
    <border>
      <left style="medium">
        <color rgb="FFB7B7B7"/>
      </left>
      <bottom style="medium">
        <color rgb="FFB7B7B7"/>
      </bottom>
    </border>
    <border>
      <right style="medium">
        <color rgb="FFB7B7B7"/>
      </right>
      <bottom style="medium">
        <color rgb="FFB7B7B7"/>
      </bottom>
    </border>
    <border>
      <left style="thin">
        <color rgb="FF000000"/>
      </left>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readingOrder="0" vertical="top"/>
    </xf>
    <xf borderId="0" fillId="0" fontId="1" numFmtId="0" xfId="0" applyAlignment="1" applyFont="1">
      <alignment horizontal="center" readingOrder="0" shrinkToFit="0" wrapText="0"/>
    </xf>
    <xf borderId="0" fillId="0" fontId="3" numFmtId="0" xfId="0" applyAlignment="1" applyFont="1">
      <alignment horizontal="center" readingOrder="0" shrinkToFit="0" vertical="bottom" wrapText="0"/>
    </xf>
    <xf borderId="1" fillId="3" fontId="2" numFmtId="0" xfId="0" applyAlignment="1" applyBorder="1" applyFill="1" applyFont="1">
      <alignment readingOrder="0" vertical="top"/>
    </xf>
    <xf borderId="0" fillId="0" fontId="1" numFmtId="164" xfId="0" applyAlignment="1" applyFont="1" applyNumberFormat="1">
      <alignment horizontal="center" readingOrder="0"/>
    </xf>
    <xf borderId="1" fillId="0" fontId="4" numFmtId="0" xfId="0" applyAlignment="1" applyBorder="1" applyFont="1">
      <alignment readingOrder="0" vertical="top"/>
    </xf>
    <xf borderId="1" fillId="3" fontId="5" numFmtId="0" xfId="0" applyAlignment="1" applyBorder="1" applyFill="1" applyFont="1">
      <alignment vertical="top"/>
    </xf>
    <xf borderId="1" fillId="0" fontId="6" numFmtId="0" xfId="0" applyAlignment="1" applyBorder="1" applyFont="1">
      <alignment horizontal="right" readingOrder="0" vertical="top"/>
    </xf>
    <xf borderId="0" fillId="0" fontId="3" numFmtId="0" xfId="0" applyAlignment="1" applyFont="1">
      <alignment horizontal="center" readingOrder="0" vertical="bottom"/>
    </xf>
    <xf borderId="1" fillId="0" fontId="6" numFmtId="0" xfId="0" applyAlignment="1" applyBorder="1" applyFont="1">
      <alignment horizontal="right" vertical="top"/>
    </xf>
    <xf borderId="0" fillId="0" fontId="1" numFmtId="0" xfId="0" applyFont="1"/>
    <xf borderId="0" fillId="4" fontId="3" numFmtId="0" xfId="0" applyAlignment="1" applyFill="1" applyFont="1">
      <alignment horizontal="center" readingOrder="0" vertical="center"/>
    </xf>
    <xf borderId="0" fillId="4" fontId="7" numFmtId="0" xfId="0" applyAlignment="1" applyFill="1" applyFont="1">
      <alignment horizontal="center" readingOrder="0" vertical="center"/>
    </xf>
    <xf borderId="0" fillId="4" fontId="8" numFmtId="0" xfId="0" applyAlignment="1" applyFill="1" applyFont="1">
      <alignment horizontal="center" readingOrder="0" shrinkToFit="0" vertical="center" wrapText="0"/>
    </xf>
    <xf borderId="0" fillId="4" fontId="7" numFmtId="165" xfId="0" applyAlignment="1" applyFill="1" applyFont="1" applyNumberFormat="1">
      <alignment horizontal="center" readingOrder="0" vertical="center"/>
    </xf>
    <xf borderId="0" fillId="4" fontId="7" numFmtId="164" xfId="0" applyAlignment="1" applyFill="1" applyFont="1" applyNumberFormat="1">
      <alignment horizontal="center" vertical="center"/>
    </xf>
    <xf borderId="0" fillId="4" fontId="7" numFmtId="0" xfId="0" applyAlignment="1" applyFill="1" applyFont="1">
      <alignment horizontal="center" readingOrder="0" vertical="bottom"/>
    </xf>
    <xf borderId="0" fillId="0" fontId="3" numFmtId="0" xfId="0" applyAlignment="1" applyFont="1">
      <alignment horizontal="center" readingOrder="0" shrinkToFit="0" vertical="center" wrapText="1"/>
    </xf>
    <xf borderId="0" fillId="5" fontId="7" numFmtId="0" xfId="0" applyAlignment="1" applyFill="1" applyFont="1">
      <alignment vertical="bottom"/>
    </xf>
    <xf borderId="0" fillId="4" fontId="3" numFmtId="0" xfId="0" applyAlignment="1" applyFill="1" applyFont="1">
      <alignment horizontal="center" readingOrder="0" vertical="bottom"/>
    </xf>
    <xf borderId="0" fillId="0" fontId="7" numFmtId="0" xfId="0" applyAlignment="1" applyFont="1">
      <alignment vertical="bottom"/>
    </xf>
    <xf borderId="0" fillId="4" fontId="3" numFmtId="0" xfId="0" applyAlignment="1" applyFill="1" applyFont="1">
      <alignment horizontal="center" readingOrder="0" shrinkToFit="0" vertical="center" wrapText="1"/>
    </xf>
    <xf borderId="0" fillId="0" fontId="7" numFmtId="0" xfId="0" applyAlignment="1" applyFont="1">
      <alignment vertical="bottom"/>
    </xf>
    <xf borderId="0" fillId="0" fontId="9" numFmtId="0" xfId="0" applyAlignment="1" applyFont="1">
      <alignment shrinkToFit="0" vertical="bottom" wrapText="0"/>
    </xf>
    <xf borderId="0" fillId="0" fontId="7" numFmtId="164" xfId="0" applyAlignment="1" applyFont="1" applyNumberFormat="1">
      <alignment vertical="bottom"/>
    </xf>
    <xf borderId="0" fillId="0" fontId="7" numFmtId="164" xfId="0" applyAlignment="1" applyFont="1" applyNumberFormat="1">
      <alignment horizontal="center" vertical="bottom"/>
    </xf>
    <xf borderId="2" fillId="0" fontId="7" numFmtId="0" xfId="0" applyAlignment="1" applyBorder="1" applyFont="1">
      <alignment horizontal="center" readingOrder="0" vertical="bottom"/>
    </xf>
    <xf borderId="3" fillId="0" fontId="7" numFmtId="164" xfId="0" applyAlignment="1" applyBorder="1" applyFont="1" applyNumberFormat="1">
      <alignment horizontal="center" vertical="bottom"/>
    </xf>
    <xf borderId="2" fillId="0" fontId="7" numFmtId="0" xfId="0" applyAlignment="1" applyBorder="1" applyFont="1">
      <alignment horizontal="center" vertical="bottom"/>
    </xf>
    <xf borderId="0" fillId="0" fontId="10" numFmtId="0" xfId="0" applyAlignment="1" applyFont="1">
      <alignment shrinkToFit="0" vertical="bottom" wrapText="0"/>
    </xf>
    <xf borderId="4" fillId="0" fontId="7" numFmtId="0" xfId="0" applyAlignment="1" applyBorder="1" applyFont="1">
      <alignment horizontal="center" vertical="bottom"/>
    </xf>
    <xf borderId="5" fillId="0" fontId="7" numFmtId="164" xfId="0" applyAlignment="1" applyBorder="1" applyFont="1" applyNumberFormat="1">
      <alignment horizontal="center" vertical="bottom"/>
    </xf>
    <xf borderId="4" fillId="0" fontId="7" numFmtId="0" xfId="0" applyAlignment="1" applyBorder="1" applyFont="1">
      <alignment horizontal="center" vertical="bottom"/>
    </xf>
    <xf borderId="0" fillId="0" fontId="7" numFmtId="0" xfId="0" applyAlignment="1" applyFont="1">
      <alignment readingOrder="0" vertical="bottom"/>
    </xf>
    <xf borderId="0" fillId="0" fontId="7" numFmtId="165" xfId="0" applyAlignment="1" applyFont="1" applyNumberFormat="1">
      <alignment vertical="bottom"/>
    </xf>
    <xf borderId="0" fillId="0" fontId="7" numFmtId="165" xfId="0" applyAlignment="1" applyFont="1" applyNumberFormat="1">
      <alignment horizontal="center" vertical="bottom"/>
    </xf>
    <xf borderId="6" fillId="0" fontId="3" numFmtId="0" xfId="0" applyAlignment="1" applyBorder="1" applyFont="1">
      <alignment horizontal="center" readingOrder="0" vertical="center"/>
    </xf>
    <xf borderId="7" fillId="0" fontId="3" numFmtId="164" xfId="0" applyAlignment="1" applyBorder="1" applyFont="1" applyNumberFormat="1">
      <alignment horizontal="center" vertical="center"/>
    </xf>
    <xf borderId="0" fillId="4" fontId="3" numFmtId="0" xfId="0" applyAlignment="1" applyFill="1" applyFont="1">
      <alignment horizontal="center" readingOrder="0" shrinkToFit="0" vertical="center" wrapText="1"/>
    </xf>
    <xf borderId="8" fillId="0" fontId="7" numFmtId="0" xfId="0" applyAlignment="1" applyBorder="1" applyFont="1">
      <alignment horizontal="center" readingOrder="0" vertical="bottom"/>
    </xf>
    <xf borderId="0" fillId="0" fontId="3" numFmtId="0" xfId="0" applyAlignment="1" applyFont="1">
      <alignment horizontal="right" readingOrder="0" vertical="center"/>
    </xf>
    <xf borderId="0" fillId="0" fontId="3" numFmtId="164" xfId="0" applyAlignment="1" applyFont="1" applyNumberFormat="1">
      <alignment horizontal="right" vertical="center"/>
    </xf>
    <xf borderId="0" fillId="4" fontId="3" numFmtId="0" xfId="0" applyAlignment="1" applyFill="1" applyFont="1">
      <alignment horizontal="center" vertical="center"/>
    </xf>
    <xf borderId="0" fillId="0" fontId="7" numFmtId="0" xfId="0" applyAlignment="1" applyFont="1">
      <alignment horizontal="center" vertical="bottom"/>
    </xf>
    <xf borderId="0" fillId="0" fontId="1" numFmtId="0" xfId="0" applyAlignment="1" applyFont="1">
      <alignment readingOrder="0"/>
    </xf>
    <xf borderId="0" fillId="5" fontId="7" numFmtId="164" xfId="0" applyAlignment="1" applyFill="1" applyFont="1" applyNumberFormat="1">
      <alignment vertical="bottom"/>
    </xf>
    <xf borderId="0" fillId="5" fontId="11" numFmtId="164" xfId="0" applyAlignment="1" applyFill="1" applyFont="1" applyNumberFormat="1">
      <alignment horizontal="center" vertical="bottom"/>
    </xf>
    <xf borderId="0" fillId="0" fontId="12" numFmtId="0" xfId="0" applyAlignment="1" applyFont="1">
      <alignment readingOrder="0" shrinkToFit="0" vertical="bottom" wrapText="0"/>
    </xf>
    <xf borderId="0" fillId="0" fontId="13" numFmtId="164" xfId="0" applyAlignment="1" applyFont="1" applyNumberFormat="1">
      <alignment shrinkToFit="0" vertical="bottom" wrapText="0"/>
    </xf>
    <xf borderId="0" fillId="0" fontId="7" numFmtId="164" xfId="0" applyAlignment="1" applyFont="1" applyNumberFormat="1">
      <alignment readingOrder="0" vertical="bottom"/>
    </xf>
    <xf borderId="0" fillId="0" fontId="7" numFmtId="164" xfId="0" applyAlignment="1" applyFont="1" applyNumberFormat="1">
      <alignment vertical="bottom"/>
    </xf>
    <xf borderId="0" fillId="6" fontId="7" numFmtId="0" xfId="0" applyAlignment="1" applyFill="1" applyFont="1">
      <alignment vertical="bottom"/>
    </xf>
    <xf borderId="0" fillId="6" fontId="14" numFmtId="0" xfId="0" applyAlignment="1" applyFill="1" applyFont="1">
      <alignment shrinkToFit="0" vertical="bottom" wrapText="0"/>
    </xf>
    <xf borderId="0" fillId="6" fontId="7" numFmtId="164" xfId="0" applyAlignment="1" applyFill="1" applyFont="1" applyNumberFormat="1">
      <alignment vertical="bottom"/>
    </xf>
    <xf borderId="0" fillId="6" fontId="7" numFmtId="164" xfId="0" applyAlignment="1" applyFill="1" applyFont="1" applyNumberFormat="1">
      <alignment horizontal="center" vertical="bottom"/>
    </xf>
    <xf borderId="0" fillId="6" fontId="7" numFmtId="0" xfId="0" applyAlignment="1" applyFill="1" applyFont="1">
      <alignment horizontal="center" vertical="bottom"/>
    </xf>
    <xf borderId="0" fillId="0" fontId="3" numFmtId="0" xfId="0" applyAlignment="1" applyFont="1">
      <alignment vertical="bottom"/>
    </xf>
    <xf borderId="0" fillId="6" fontId="11" numFmtId="0" xfId="0" applyAlignment="1" applyFill="1" applyFont="1">
      <alignment vertical="bottom"/>
    </xf>
    <xf borderId="0" fillId="5" fontId="11" numFmtId="164" xfId="0" applyAlignment="1" applyFill="1" applyFont="1" applyNumberFormat="1">
      <alignment vertical="bottom"/>
    </xf>
    <xf borderId="0" fillId="6" fontId="7" numFmtId="164" xfId="0" applyAlignment="1" applyFill="1" applyFont="1" applyNumberFormat="1">
      <alignment vertical="bottom"/>
    </xf>
    <xf borderId="0" fillId="6" fontId="15" numFmtId="164" xfId="0" applyAlignment="1" applyFill="1" applyFont="1" applyNumberFormat="1">
      <alignment readingOrder="0" vertical="bottom"/>
    </xf>
    <xf borderId="0" fillId="6" fontId="7" numFmtId="0" xfId="0" applyAlignment="1" applyFill="1" applyFont="1">
      <alignment vertical="bottom"/>
    </xf>
    <xf borderId="0" fillId="6" fontId="16" numFmtId="0" xfId="0" applyAlignment="1" applyFill="1" applyFont="1">
      <alignment shrinkToFit="0" vertical="bottom" wrapText="0"/>
    </xf>
    <xf borderId="0" fillId="5" fontId="7" numFmtId="0" xfId="0" applyAlignment="1" applyFill="1" applyFont="1">
      <alignment vertical="bottom"/>
    </xf>
    <xf borderId="0" fillId="5" fontId="17" numFmtId="0" xfId="0" applyAlignment="1" applyFill="1" applyFont="1">
      <alignment shrinkToFit="0" vertical="bottom" wrapText="0"/>
    </xf>
    <xf borderId="0" fillId="5" fontId="7" numFmtId="164" xfId="0" applyAlignment="1" applyFill="1" applyFont="1" applyNumberFormat="1">
      <alignment vertical="bottom"/>
    </xf>
    <xf borderId="0" fillId="5" fontId="7" numFmtId="164" xfId="0" applyAlignment="1" applyFill="1" applyFont="1" applyNumberFormat="1">
      <alignment horizontal="center" vertical="bottom"/>
    </xf>
    <xf borderId="0" fillId="0" fontId="7" numFmtId="164" xfId="0" applyAlignment="1" applyFont="1" applyNumberFormat="1">
      <alignment horizontal="center" vertical="bottom"/>
    </xf>
    <xf borderId="0" fillId="5" fontId="7" numFmtId="0" xfId="0" applyAlignment="1" applyFill="1" applyFont="1">
      <alignment horizontal="center" vertical="bottom"/>
    </xf>
    <xf borderId="0" fillId="0" fontId="18" numFmtId="0" xfId="0" applyAlignment="1" applyFont="1">
      <alignment readingOrder="0" shrinkToFit="0" vertical="bottom" wrapText="0"/>
    </xf>
    <xf borderId="0" fillId="0" fontId="7" numFmtId="164" xfId="0" applyAlignment="1" applyFont="1" applyNumberFormat="1">
      <alignment horizontal="center" readingOrder="0" vertical="bottom"/>
    </xf>
    <xf borderId="0" fillId="0" fontId="7" numFmtId="0" xfId="0" applyAlignment="1" applyFont="1">
      <alignment horizontal="center" readingOrder="0" vertical="bottom"/>
    </xf>
    <xf borderId="0" fillId="0" fontId="7" numFmtId="0" xfId="0" applyAlignment="1" applyFont="1">
      <alignment shrinkToFit="0" vertical="bottom" wrapText="0"/>
    </xf>
    <xf borderId="0" fillId="0" fontId="3" numFmtId="164" xfId="0" applyAlignment="1" applyFont="1" applyNumberFormat="1">
      <alignment horizontal="center" vertical="bottom"/>
    </xf>
    <xf borderId="0" fillId="0" fontId="19" numFmtId="0" xfId="0" applyAlignment="1" applyFont="1">
      <alignment horizontal="center" readingOrder="0" vertical="bottom"/>
    </xf>
    <xf borderId="0" fillId="0" fontId="19" numFmtId="0" xfId="0" applyAlignment="1" applyFont="1">
      <alignment horizontal="center" readingOrder="0" shrinkToFit="0" vertical="bottom" wrapText="0"/>
    </xf>
    <xf borderId="0" fillId="4" fontId="19" numFmtId="0" xfId="0" applyAlignment="1" applyFill="1" applyFont="1">
      <alignment horizontal="center" readingOrder="0" vertical="bottom"/>
    </xf>
    <xf borderId="0" fillId="4" fontId="7" numFmtId="0" xfId="0" applyAlignment="1" applyFill="1" applyFont="1">
      <alignment vertical="bottom"/>
    </xf>
    <xf borderId="0" fillId="5" fontId="20" numFmtId="0" xfId="0" applyAlignment="1" applyFill="1" applyFont="1">
      <alignment shrinkToFit="0" vertical="bottom" wrapText="0"/>
    </xf>
    <xf borderId="0" fillId="5" fontId="7" numFmtId="0" xfId="0" applyAlignment="1" applyFill="1" applyFont="1">
      <alignment readingOrder="0" vertical="bottom"/>
    </xf>
    <xf borderId="0" fillId="5" fontId="21" numFmtId="0" xfId="0" applyAlignment="1" applyFill="1" applyFont="1">
      <alignment readingOrder="0" shrinkToFit="0" vertical="bottom" wrapText="0"/>
    </xf>
    <xf borderId="0" fillId="5" fontId="7" numFmtId="164" xfId="0" applyAlignment="1" applyFill="1" applyFont="1" applyNumberFormat="1">
      <alignment horizontal="center" readingOrder="0" vertical="bottom"/>
    </xf>
    <xf borderId="0" fillId="5" fontId="7" numFmtId="0" xfId="0" applyAlignment="1" applyFill="1" applyFont="1">
      <alignment horizontal="center" readingOrder="0" vertical="bottom"/>
    </xf>
    <xf borderId="0" fillId="0" fontId="7" numFmtId="164" xfId="0" applyAlignment="1" applyFont="1" applyNumberFormat="1">
      <alignment horizontal="center" readingOrder="0" vertical="bottom"/>
    </xf>
    <xf borderId="0" fillId="5" fontId="7" numFmtId="164" xfId="0" applyAlignment="1" applyFill="1" applyFont="1" applyNumberFormat="1">
      <alignment readingOrder="0" vertical="bottom"/>
    </xf>
    <xf borderId="0" fillId="0" fontId="7" numFmtId="0" xfId="0" applyAlignment="1" applyFont="1">
      <alignment horizontal="center" vertical="bottom"/>
    </xf>
    <xf borderId="0" fillId="0" fontId="22" numFmtId="0" xfId="0" applyAlignment="1" applyFont="1">
      <alignment horizontal="center" vertical="bottom"/>
    </xf>
    <xf borderId="0" fillId="0" fontId="23" numFmtId="0" xfId="0" applyAlignment="1" applyFont="1">
      <alignment readingOrder="0"/>
    </xf>
    <xf borderId="0" fillId="0" fontId="24" numFmtId="0" xfId="0" applyAlignment="1" applyFont="1">
      <alignment readingOrder="0" shrinkToFit="0" wrapText="0"/>
    </xf>
    <xf borderId="0" fillId="0" fontId="23" numFmtId="164" xfId="0" applyAlignment="1" applyFont="1" applyNumberFormat="1">
      <alignment horizontal="center" readingOrder="0"/>
    </xf>
    <xf borderId="0" fillId="0" fontId="23" numFmtId="0" xfId="0" applyAlignment="1" applyFont="1">
      <alignment horizontal="center" readingOrder="0"/>
    </xf>
    <xf borderId="0" fillId="5" fontId="7" numFmtId="0" xfId="0" applyAlignment="1" applyFill="1" applyFont="1">
      <alignment horizontal="center" vertical="bottom"/>
    </xf>
    <xf borderId="0" fillId="5" fontId="3" numFmtId="164" xfId="0" applyAlignment="1" applyFill="1" applyFont="1" applyNumberFormat="1">
      <alignment horizontal="center" vertical="bottom"/>
    </xf>
    <xf borderId="0" fillId="5" fontId="3" numFmtId="0" xfId="0" applyAlignment="1" applyFill="1" applyFont="1">
      <alignment horizontal="center" vertical="bottom"/>
    </xf>
    <xf borderId="0" fillId="4" fontId="25" numFmtId="0" xfId="0" applyAlignment="1" applyFill="1" applyFont="1">
      <alignment horizontal="center" readingOrder="0" vertical="bottom"/>
    </xf>
    <xf borderId="0" fillId="5" fontId="7" numFmtId="164" xfId="0" applyAlignment="1" applyFill="1" applyFont="1" applyNumberFormat="1">
      <alignment horizontal="center" vertical="bottom"/>
    </xf>
    <xf borderId="0" fillId="5" fontId="7" numFmtId="164" xfId="0" applyAlignment="1" applyFill="1" applyFont="1" applyNumberFormat="1">
      <alignment horizontal="center" readingOrder="0" vertical="bottom"/>
    </xf>
    <xf borderId="0" fillId="0" fontId="23" numFmtId="0" xfId="0" applyAlignment="1" applyFont="1">
      <alignment shrinkToFit="0" wrapText="0"/>
    </xf>
    <xf borderId="0" fillId="0" fontId="23" numFmtId="0" xfId="0" applyFont="1"/>
    <xf borderId="0" fillId="0" fontId="1"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mazon.com/EDGELEC-Breadboard-Optional-Assorted-Multicolored/dp/B07GD2BWPY/ref=sr_1_1_sspa?crid=1RYVGD1NRVV4P&amp;dib=eyJ2IjoiMSJ9.I3nSspk5onl8Jong0G-0EdlCOAcGGAhXlYrx1LZqfMIcXJU8J0Uc7OTwu9IP6xCFgwYQcGn_m9BB44wYC2uzwdMJ0IBM3Kmg1LGYYRFzuzSulm8aZVuDw6ximYGTLDUGdFW1ck6P1DY98KwbzuDLWsMk5FMFBpK1HHiwUlMf7pn7By2a2OWD4uYZh5WYVPDFXCg25BudygZvNhqKuBuoDeYlyXyDBRPWctpKCqDG4Aeda6Vp8M3xYbHGdGLuDMiNNNF2QfaUQvupS5evFbGRWGTXvhRvlTYD4LZG_AcGh20.kNK6ui74Y_0AIL8537cO_3tSd4YwpnxiVf78Ac_ESB0&amp;dib_tag=se&amp;keywords=jumper%2Bwire&amp;qid=1737933139&amp;s=industrial&amp;sprefix=jumper%2Bwire%2Cindustrial%2C170&amp;sr=1-1-spons&amp;sp_csd=d2lkZ2V0TmFtZT1zcF9hdGY&amp;th=1" TargetMode="External"/><Relationship Id="rId84" Type="http://schemas.openxmlformats.org/officeDocument/2006/relationships/hyperlink" Target="https://www.amazon.com/dp/B09J112YR7?ref=ppx_yo2ov_dt_b_fed_asin_title&amp;th=1" TargetMode="External"/><Relationship Id="rId83" Type="http://schemas.openxmlformats.org/officeDocument/2006/relationships/hyperlink" Target="https://www.amazon.com/ELEGOO-Breadboard-Solderless-Breadboards-Electronics/dp/B0CYPVMK9J/ref=sr_1_9?crid=3HCILZ7OQN6DR&amp;dib=eyJ2IjoiMSJ9.b1ZeHUlkFSvPfix-RdR1hml-qYlLWfFEdQlzxiQ3vZB2RqfZyycEgk3-VH6-oyRtQSNZtekesYIoka5oLp7G6n98sA95rx7Lsi1zpU0yf0GMwi_i-JIg4UER1bmwwEuBGunsenE5UqyDfQZYhQ2ves8mcL9NaqJxqj7P0QXmuJbOqbHfw88tL5vjHgNOR8vABwU5KnLiiaDrTCEn3-tU5m62BQ-7a5v5IFV9hQ_sTzS1wp9REJk8Sy7eM74-nHyoIgXo0My_wlwX-G58jBQ2eXbxxktyAuWFWlwpP-aJDcA.6UwZY3eFdIbFxrBz1qXc43YtjWIzYoUyCkSJpGjbWm8&amp;dib_tag=se&amp;keywords=bread+board&amp;qid=1723145385&amp;sprefix=bread+boar%2Caps%2C144&amp;sr=8-9" TargetMode="External"/><Relationship Id="rId42" Type="http://schemas.openxmlformats.org/officeDocument/2006/relationships/hyperlink" Target="https://www.digikey.com/short/zqh51b3r" TargetMode="External"/><Relationship Id="rId86" Type="http://schemas.openxmlformats.org/officeDocument/2006/relationships/hyperlink" Target="https://www.amazon.com/BOJACK-Values-Resistor-Resistors-Assortment/dp/B08FD1XVL6/ref=sr_1_3?crid=35SCE5A556UK5&amp;dib=eyJ2IjoiMSJ9.HDBbky-6Kjku9CW9EH5ql22hd_MQFsWK3wPfJi4PblWknX6HWa4rfBePVcVoQM_jew5muVz2gzkbgKNiBt6JuS41D3XGgsoY0DN0ykccx_VHSj0DVhf3Gzf6scUTgqY0b7qJO17Yiq1u1XXm9-LWoXf5A8lbLrJ3PQvV29ImlekfTye6emPv93zlmCWu63cS5hvSchtvCc3d984vMBT-okwweAJ64MEc1HfKJUBIDrv11MwELx2G_Zbe-6QcG1lyomR-_5wjTrWUQ8ZhVSqKyopUZocbU_Poq1KwHj_jRaw.A7S5k8pUjkjPriHgaUYLPnElWmdYu6ZCSeQkszGwzJA&amp;dib_tag=se&amp;keywords=resistors%2Bassortment%2Bkit&amp;qid=1710652327&amp;s=industrial&amp;sprefix=resistor%2Cindustrial%2C149&amp;sr=1-3&amp;th=1" TargetMode="External"/><Relationship Id="rId41" Type="http://schemas.openxmlformats.org/officeDocument/2006/relationships/hyperlink" Target="https://www.digikey.com/short/523wz1nj" TargetMode="External"/><Relationship Id="rId85" Type="http://schemas.openxmlformats.org/officeDocument/2006/relationships/hyperlink" Target="https://www.adafruit.com/product/5475" TargetMode="External"/><Relationship Id="rId44" Type="http://schemas.openxmlformats.org/officeDocument/2006/relationships/hyperlink" Target="https://www.amazon.com/dp/B07XDTJJLV?ref=ppx_yo2ov_dt_b_fed_asin_title" TargetMode="External"/><Relationship Id="rId88" Type="http://schemas.openxmlformats.org/officeDocument/2006/relationships/hyperlink" Target="https://www.bestbuy.com/site/asus-rog-ally-x-7-120hz-fhd-1080p-gaming-handheld-amd-ryzen-z1-extreme-processor-24gb-with-1tb-ssd-black/6583218.p?skuId=6583218" TargetMode="External"/><Relationship Id="rId43" Type="http://schemas.openxmlformats.org/officeDocument/2006/relationships/hyperlink" Target="https://www.amazon.com/dp/B09LYHHS9J?ref=ppx_yo2ov_dt_b_fed_asin_title&amp;th=1" TargetMode="External"/><Relationship Id="rId87" Type="http://schemas.openxmlformats.org/officeDocument/2006/relationships/hyperlink" Target="https://www.amazon.com/dp/B09B2441R7?ref=ppx_yo2ov_dt_b_fed_asin_title" TargetMode="External"/><Relationship Id="rId46" Type="http://schemas.openxmlformats.org/officeDocument/2006/relationships/hyperlink" Target="https://www.amazon.com/dp/B0C53HD8J7?ref=ppx_yo2ov_dt_b_fed_asin_title&amp;th=1" TargetMode="External"/><Relationship Id="rId45" Type="http://schemas.openxmlformats.org/officeDocument/2006/relationships/hyperlink" Target="https://www.amazon.com/Terminal-5-5mm%C3%972-5mm-Connector-Surveillance-Repairs/dp/B0FD9BK96H/ref=sr_1_3?crid=2F60NRDVLQPN7&amp;dib=eyJ2IjoiMSJ9.5-G1RnXb87venjWf1jH2ygWZ4tvB5PdrSL1sZxrN_hDwu2hs_dU5f8KJHmaYSy3I2IXRdAn4B5ooT1mlo_f10GgDqXtAaUF6wR2L6WyrKEeRkr_Aty5mDEuctcO3DF67v6KQEoaUOnA6C4trr8NaRv6-ej-v7n5RLCqsb3TTLhyurho1CURIjAmWk4_7vRCj4Y5HfneOxgu8rN6OJGvvlOY53k4IR6QTTd6qeyDHTvw.NXN3J4bQA4db7vwxH7e0T3X0eR2TacAX_gzFS37jvYc&amp;dib_tag=se&amp;keywords=barrel%2Bjack%2B5.5mm%2F2.5mm%2B(aka%2BDC5525)&amp;qid=1772521825&amp;sprefix=barrel%2Bjack%2B5.5mm%2F2.5mm%2Baka%2Bdc5525%2B%2Caps%2C197&amp;sr=8-3&amp;th=1" TargetMode="External"/><Relationship Id="rId89" Type="http://schemas.openxmlformats.org/officeDocument/2006/relationships/hyperlink" Target="https://mabdelectronics.com/products/samsung-21700-50s-25a-5000mah-battery?variant=44357994479862&amp;currency=USD&amp;utm_medium=product_sync&amp;utm_source=google&amp;utm_content=sag_organic&amp;utm_campaign=sag_organic&amp;cmp_id=20308645334&amp;adg_id=&amp;kwd=&amp;device=c&amp;gad_source=1&amp;gclid=CjwKCAjw5mwBhBtEiwAFHDZx6hriZlmc_Q6T8jg8UVxz_LJ8z9YC9bO20Di5tjcPy2IE5Kj4H8wexoCHgUQAvD_BwE" TargetMode="External"/><Relationship Id="rId80" Type="http://schemas.openxmlformats.org/officeDocument/2006/relationships/hyperlink" Target="https://www.robotis.us/dynamixel-xc430-t240bb-t/" TargetMode="External"/><Relationship Id="rId82" Type="http://schemas.openxmlformats.org/officeDocument/2006/relationships/hyperlink" Target="https://www.robotis.us/u2d2-power-hub-board-set/?srsltid=AfmBOorqr2W_TiaY-FTKoh5u3evm1mb-_V--NK_BizxAXwZzdGcWUiGB" TargetMode="External"/><Relationship Id="rId81" Type="http://schemas.openxmlformats.org/officeDocument/2006/relationships/hyperlink" Target="https://www.robotis.us/u2d2/" TargetMode="External"/><Relationship Id="rId1" Type="http://schemas.openxmlformats.org/officeDocument/2006/relationships/hyperlink" Target="https://shop.wowrobo.com/products/toddlerbot-2-0-assembly-version" TargetMode="External"/><Relationship Id="rId2" Type="http://schemas.openxmlformats.org/officeDocument/2006/relationships/hyperlink" Target="https://item.taobao.com/item.htm?ft=t&amp;id=970730280172" TargetMode="External"/><Relationship Id="rId3" Type="http://schemas.openxmlformats.org/officeDocument/2006/relationships/hyperlink" Target="https://www.robotis.us/dynamixel-2xc430-w250-t/" TargetMode="External"/><Relationship Id="rId4" Type="http://schemas.openxmlformats.org/officeDocument/2006/relationships/hyperlink" Target="https://www.robotis.us/dynamixel-2xl430-w250-t/" TargetMode="External"/><Relationship Id="rId9" Type="http://schemas.openxmlformats.org/officeDocument/2006/relationships/hyperlink" Target="https://www.robotis.us/hn11-i101-set/" TargetMode="External"/><Relationship Id="rId48" Type="http://schemas.openxmlformats.org/officeDocument/2006/relationships/hyperlink" Target="https://www.amazon.com/dp/B07DC3LH9C?ref=ppx_yo2ov_dt_b_fed_asin_title" TargetMode="External"/><Relationship Id="rId47" Type="http://schemas.openxmlformats.org/officeDocument/2006/relationships/hyperlink" Target="https://www.amazon.com/dp/B0912XDRZJ?ref=nav_signin&amp;ref_=cm_sw_r_cso_cp_apin_dp_K0YA12RK2VJD3VX9DEYQ_1&amp;social_share=cm_sw_r_cso_cp_apin_dp_K0YA12RK2VJD3VX9DEYQ_1&amp;starsLeft=1&amp;skipTwisterOG=1&amp;th=1" TargetMode="External"/><Relationship Id="rId49" Type="http://schemas.openxmlformats.org/officeDocument/2006/relationships/hyperlink" Target="https://www.amazon.com/dp/B09XC91BWJ?ref=ppx_yo2ov_dt_b_fed_asin_title" TargetMode="External"/><Relationship Id="rId5" Type="http://schemas.openxmlformats.org/officeDocument/2006/relationships/hyperlink" Target="https://www.robotis.us/dynamixel-xc330-t288-t/" TargetMode="External"/><Relationship Id="rId6" Type="http://schemas.openxmlformats.org/officeDocument/2006/relationships/hyperlink" Target="https://www.robotis.us/dynamixel-xc430-t240bb-t/" TargetMode="External"/><Relationship Id="rId7" Type="http://schemas.openxmlformats.org/officeDocument/2006/relationships/hyperlink" Target="https://www.robotis.us/dynamixel-xm430-w210-t/" TargetMode="External"/><Relationship Id="rId8" Type="http://schemas.openxmlformats.org/officeDocument/2006/relationships/hyperlink" Target="https://www.robotis.us/dynamixel-xm430-w350-t/" TargetMode="External"/><Relationship Id="rId73" Type="http://schemas.openxmlformats.org/officeDocument/2006/relationships/hyperlink" Target="https://www.amazon.com/gp/product/B07MDKXNPC/ref=ppx_yo_dt_b_search_asin_title?ie=UTF8&amp;th=1" TargetMode="External"/><Relationship Id="rId72" Type="http://schemas.openxmlformats.org/officeDocument/2006/relationships/hyperlink" Target="https://www.amazon.com/gp/product/B07GDDKJ1D/ref=ppx_yo_dt_b_search_asin_title?ie=UTF8&amp;th=1" TargetMode="External"/><Relationship Id="rId31" Type="http://schemas.openxmlformats.org/officeDocument/2006/relationships/hyperlink" Target="https://www.amazon.com/Bearing-Miniature-Bearings-Quadcopter-L-940ZZ/dp/B081YTWYR5/ref=sr_1_3?crid=VDYE2NZ9N4Y7&amp;keywords=684+bearing+abec&amp;qid=1704699226&amp;sprefix=684+bearing+abe%2Caps%2C132&amp;sr=8-3" TargetMode="External"/><Relationship Id="rId75" Type="http://schemas.openxmlformats.org/officeDocument/2006/relationships/hyperlink" Target="https://www.amazon.com/4040-Connector-Corner-Reinforcing-20/dp/B0BS6MG9D5/ref=sr_1_1_sspa?crid=1DG0MET0K366U&amp;dib=eyJ2IjoiMSJ9.Ge-xRkocDU9AxBHuXxM1VcLQKp7TMHDpTNOJWPxKoBMhsp5W_9MIwjJ1WoItJ550Xcz7uV1KSEOLeOs2YoskBHCIdH0jFfQ9l2DhZr_Ur1RJScrFTVOsOuQRpkAwTeNnCKnvGYSEz8Wry2s88W4_qii7S21DIQPaeCmaIyMSiNhkfcc4PoVnAxQS7jGQ51SBaDH77ix9zwzEZIsdjnqDuicJvLAVNjn8VbN5y1suiuM.bdX6LRMAi4L1dK92LhPJBJPHuWh734OG1KDjJMB0PE4&amp;dib_tag=se&amp;keywords=20%2BSet%2B4040%2BConnector&amp;qid=1738372733&amp;sprefix=20%2Bset%2B4040%2Bconnector%2Caps%2C219&amp;sr=8-1-spons&amp;sp_csd=d2lkZ2V0TmFtZT1zcF9hdGY&amp;th=1" TargetMode="External"/><Relationship Id="rId30" Type="http://schemas.openxmlformats.org/officeDocument/2006/relationships/hyperlink" Target="https://www.amazon.com/uxcell-683-2RS-Bearing-3x7x3mm-Bearings/dp/B07TP22H5L/ref=sr_1_1?crid=1IBZQQQGDLH5G&amp;keywords=683%2Bbearing%2Babec&amp;qid=1704699417&amp;refinements=p_85%3A2470955011&amp;rnid=2470954011&amp;rps=1&amp;sprefix=68%2Bbearing%2Babec%2Caps%2C263&amp;sr=8-1&amp;th=1" TargetMode="External"/><Relationship Id="rId74" Type="http://schemas.openxmlformats.org/officeDocument/2006/relationships/hyperlink" Target="https://www.amazon.com/gp/product/B07BGTSWYB/ref=ppx_yo_dt_b_search_asin_title?ie=UTF8&amp;th=1" TargetMode="External"/><Relationship Id="rId33" Type="http://schemas.openxmlformats.org/officeDocument/2006/relationships/hyperlink" Target="https://www.amazon.com/uxcell-Bearings-Diameter-Thickness-Steering/dp/B0DQ8T13KV/ref=sr_1_1?crid=VNI94SPUMXT0&amp;dib=eyJ2IjoiMSJ9.rFsQxgEm9JnaSa9PU3U_2VOC9KxY6Femaok2lP_myW7tJhNoihXE1aEB3BeDJHsr6CLQt17PnuocrIgwMVxhDFw7rmbPIkID9qK4HX9nI-9TKr1uW0feH1P8K8FblxSN6kU-fseK10-g1QN2tkcKTOs93RAcOizojgy8_KIFiuwRoLT8k6rXXKo2XNk-qP7Q5W_IGk2KEUGQ1ju1QPy0b2THkkXjWAQqZx2grfT22n0.bNuHjl66ibqEZrObb6oeDzIrjF3ifcq23tyzvBuUO8s&amp;dib_tag=se&amp;keywords=bearing+axk0414&amp;qid=1757646289&amp;sprefix=bearing+axk0414%2Caps%2C212&amp;sr=8-1" TargetMode="External"/><Relationship Id="rId77" Type="http://schemas.openxmlformats.org/officeDocument/2006/relationships/hyperlink" Target="https://www.amazon.com/Aluminum-Extrusion-Hexagon-Sliding-Washers/dp/B0C4JTL1MP/ref=sr_1_7_sspa?crid=17UQQUAW3ADJI&amp;dib=eyJ2IjoiMSJ9.STkkBYxj5nXqEqf-j3kkcV39ECbOO83TbJ4YZYd8D3WWSQPuIeO3KXjNL1wgj3vyJABKVzL6j6ZAshEeY012lUnweWhcMo5AzkkOmbVTYc9ZipuviNA11x1ZMe7Eez2ewGRXisDRRLLMbkgcwBdfsHHIKVtwysFYAoWc3gRfY2gNUrEMD6rfJXm460M0BvJ8W28tuDLqIvOSaI8JRgfYcy6chQiyFRsHYGhlLPdMrtA.5eJxZCmh0U9xGzoGvp_x-QHOSvn-Qkmb1NXjMS2MAio&amp;dib_tag=se&amp;keywords=2020%2Bseries%2Bm5%2Bsliding%2Bt%2Bnuts&amp;qid=1738372645&amp;sprefix=2020%2BSeries%2Bm5%2Caps%2C139&amp;sr=8-7-spons&amp;sp_csd=d2lkZ2V0TmFtZT1zcF9tdGY&amp;th=1" TargetMode="External"/><Relationship Id="rId32" Type="http://schemas.openxmlformats.org/officeDocument/2006/relationships/hyperlink" Target="https://www.aliexpress.us/item/3256808058322808.html?spm=a2g0o.productlist.main.1.6f31VV9EVV9ETy&amp;algo_pvid=56d438c8-237d-4f85-a22a-a1ef5f58b95a&amp;algo_exp_id=56d438c8-237d-4f85-a22a-a1ef5f58b95a-0&amp;pdp_npi=4%40dis%21USD%211.14%210.83%21%21%211.14%210.83%21%402103244417378529988424500ea7f8%2112000044355276360%21sea%21US%210%21ABX&amp;curPageLogUid=3VcVFEK9FgUZ&amp;utparam-url=scene%3Asearch%7Cquery_from%3A" TargetMode="External"/><Relationship Id="rId76" Type="http://schemas.openxmlformats.org/officeDocument/2006/relationships/hyperlink" Target="https://www.amazon.com/Seekliny-Aluminum-Extrusion-T-Slotted-Accessories/dp/B0CP1XF8XM/ref=sr_1_1_sspa?crid=9E67O5VPVKB5&amp;dib=eyJ2IjoiMSJ9.I5MbF9pxHjPlwv3lgQiE1P8mzqp3L-kiRpj42TurRFxEnvVU_5BgRI_HoKvBFd86ee0bVntkMcPArc6s-2dfILzMzmC42oiU3rKaQk2q3W7tuM35ajfou2L6oGcYGcAs-hlerzeK_cZfLTlSNAGLOwEvu2dsUXx4s9qaVGQWXp2I_HJ4IzeVts1KMesw1Boa5-VE_PtTs9kiJmXV-i13m9rbhYqvrBmwMwxYqIC3iAU.9WpiLlNsqAaED8wCKq25LVCeIe07L5O844Df2wvfGA4&amp;dib_tag=se&amp;keywords=4040%2Baluminum%2Bextrusion%2B1pc&amp;qid=1738365050&amp;sprefix=4040%2Baluminum%2Bextrusion%2B1pc%2Caps%2C157&amp;sr=8-1-spons&amp;sp_csd=d2lkZ2V0TmFtZT1zcF9hdGY&amp;th=1" TargetMode="External"/><Relationship Id="rId35" Type="http://schemas.openxmlformats.org/officeDocument/2006/relationships/hyperlink" Target="https://www.amazon.com/dp/B0CJRMXN3F?ref=ppx_yo2ov_dt_b_fed_asin_title&amp;th=1" TargetMode="External"/><Relationship Id="rId79" Type="http://schemas.openxmlformats.org/officeDocument/2006/relationships/hyperlink" Target="https://www.robotis.us/dynamixel-2xl430-w250-t/" TargetMode="External"/><Relationship Id="rId34" Type="http://schemas.openxmlformats.org/officeDocument/2006/relationships/hyperlink" Target="https://www.amazon.com/uxcell-Bearings-Wrapped-Bushings-Machinery/dp/B0CW31938R/ref=sr_1_2?dib=eyJ2IjoiMSJ9.XzXo6t-VId46djgWpTcE2zo1hN_x0weeWzN0ParwFgxPMyvDvoBjrxhooolXHkqbjhnV6MSgMnVtyGi6DoWuoi7zwxMBr7UEwxLesAhAFM2ANtSFNW344BcWXGbV0a2Ruqw7NZpoDDXchG0MyYc5Ro1fNyrleuKwiMOT9g0ayjEQE_HoBSW2KZXsczoa-Mm4ZMRWKJDdk6gQEcUlFuov_qluCfRQsq6IdPrrT2LDLMw.6y_tnoj0moCfgSSKT1pBqSHmR2qW9qnhWohxoXhMB7o&amp;dib_tag=se&amp;keywords=bushing%2B3x5x3&amp;qid=1737851263&amp;sr=8-2&amp;th=1" TargetMode="External"/><Relationship Id="rId78" Type="http://schemas.openxmlformats.org/officeDocument/2006/relationships/hyperlink" Target="https://www.amazon.com/European-Standard-Anodized-Aluminum-Extrusion/dp/B09JSN97Y9/ref=sr_1_3?crid=1Z3GBJWAHAG7O&amp;dib=eyJ2IjoiMSJ9.tipcGPZaiGsYWRIZBogqVZkA627UtF-bhsNOU8rbzyg4w-4gsm42wkKWJLImNjXqGqS3nNNfy797r-pqu7Jgh9V-uvZn68HBnR5V-BcOZDAwu28RhUSXpwLaxkoj8iJq16zPfAA2Dyou03horbQTGGBovJ_haFJUnQQp12Ojr-5bV7c1N62-gNdqN2E-WyOmdy5lC_2_pZZxkhDJlRnXTlDAvFVJ5Yk0lR795mtGJeU.av_0alfMoq6a8-FbbZ_ochj0_eNr3q9iMNbnewIPq1Q&amp;dib_tag=se&amp;keywords=2020%2Bextrusion%2B100mm&amp;qid=1738372819&amp;sprefix=2020%2Bextrusion%2B100mm%2Caps%2C189&amp;sr=8-3&amp;th=1" TargetMode="External"/><Relationship Id="rId71" Type="http://schemas.openxmlformats.org/officeDocument/2006/relationships/hyperlink" Target="https://www.amazon.com/Ginsco-580-pcs-Assorted-Sleeving/dp/B01MFA3OFA/ref=sr_1_3?crid=43XKJ1YVOEK4&amp;dib=eyJ2IjoiMSJ9.afAtOFc0AWv7IewHnY-SsrP5q0gjhaeFyGoua3fAno4labJK5-d6L-_fBrMVcN0vvcE_zPv9DmmeQ3P0sIKinFBdKCox4IxPh9l58_b90CD0o2EmRxl7MGSArbrdAog8iZ0rcZHqkl96tvjYLXIrgjtUnd-pPT2DQU_p8Wwf5gLA4lBD0BzKLi5WUxvCPvUuOY3lqqFVwXncQYqppNe3HeSJ5ClxfQfWlqCzGgu7Mx4.wvg7WH3AE9_vHhxyLkJDgljIhq3jjK6cvmlzLRNnSeA&amp;dib_tag=se&amp;keywords=heat+shrink+tubing&amp;qid=1737934827&amp;sprefix=heat+shrin%2Caps%2C252&amp;sr=8-3" TargetMode="External"/><Relationship Id="rId70" Type="http://schemas.openxmlformats.org/officeDocument/2006/relationships/hyperlink" Target="https://www.amazon.com/gp/product/B08RXMDKWX/ref=ppx_yo_dt_b_search_asin_title?ie=UTF8&amp;th=1" TargetMode="External"/><Relationship Id="rId37" Type="http://schemas.openxmlformats.org/officeDocument/2006/relationships/hyperlink" Target="https://www.amazon.com/CableCreation-Charger-Compatible-Chromecast-Android/dp/B0CGRG7F2Q/ref=sr_1_4?crid=265PO3EEKHKAR&amp;dib=eyJ2IjoiMSJ9.U4RSil9ruXMgFIgljeY3Q6d_uBhvDFjSJuavpqbS0a9CPccKTcNFi6w6xIFghysD5FF1ucUbue65Uol_txCSUczuleAnfSNfjRnUnQFi32nCiq6t2YXtS2tUd8C32p2OrBPqVWygkD1hMjaN2W-qfZRsWQjCa9KC8EvKM110cMt-d3Uw7ETe_Joi8DH7ftzEl2n-fLhgzDdfndb-E1G9VbKxczgjQniwJQgmPcXtTlP9uefYME8XhywSN1Jbtnqu2efUztJlEFENbaIRdJAw-Msp-57H1AarZMtWFM6iv24.txPMcNRqqnKc4pNSQUga3a-wL4oIckjD4_QboVi79SA&amp;dib_tag=se&amp;keywords=usb%2Bto%2Bmicro%2Busb%2Bshort%2Bguides%2B0.5ft&amp;qid=1727842141&amp;s=industrial&amp;sprefix=usb%2Bto%2Bmicro%2Busb%2Bshort%2Btguuds%2B0.5ft%2Cindustrial%2C130&amp;sr=1-4&amp;th=1" TargetMode="External"/><Relationship Id="rId36" Type="http://schemas.openxmlformats.org/officeDocument/2006/relationships/hyperlink" Target="https://www.pololu.com/product/4095" TargetMode="External"/><Relationship Id="rId39" Type="http://schemas.openxmlformats.org/officeDocument/2006/relationships/hyperlink" Target="https://www.amazon.com/dp/B088KBGRD9?ref=ppx_yo2ov_dt_b_fed_asin_title" TargetMode="External"/><Relationship Id="rId38" Type="http://schemas.openxmlformats.org/officeDocument/2006/relationships/hyperlink" Target="https://www.amazon.com/dp/B0773N757H?ref=ppx_yo2ov_dt_b_fed_asin_title&amp;th=1" TargetMode="External"/><Relationship Id="rId62" Type="http://schemas.openxmlformats.org/officeDocument/2006/relationships/hyperlink" Target="https://www.amazon.com/Professional-Cutters-Diagonal-Repairing-Crafting/dp/B07R8JLJVR/ref=sr_1_17?crid=3THJCRSFCVPKC&amp;dib=eyJ2IjoiMSJ9.A9R_gdtQ80zowyvP23hdzUedGcKnLPYeLy9LNXuWaRA5ApTT7QScZrR0s6tQ6OVmp-7ddWKH-0mbl6aZ21eBPfz-NwBlDZh6zKb_z6UOGhMCwzorjyrPcXC8IP0429gpioYUjkax7F_REOiM7101pqpDenNuk6ndblzPXf-BA4300w0pw3rxGbWH3plEt63eChf5svlOqz07UqEYEHMWmTHz0eRggbarsyTcdfO34-i7epj-8Z1NnnOARVsI1Gtvka5FIHMVpA6ehplC74Ms3ZO3XBJso30U5ED9wrrsMak.VzCoTG4byxzrUxvdQryVkZ5U81rLnURrpGGQUty8UMg&amp;dib_tag=se&amp;keywords=precision+pliers&amp;qid=1710796385&amp;sprefix=precision+pliers%2Caps%2C158&amp;sr=8-17" TargetMode="External"/><Relationship Id="rId61" Type="http://schemas.openxmlformats.org/officeDocument/2006/relationships/hyperlink" Target="https://www.amazon.com/Edward-Tools-Piece-Short-Wrench/dp/B09PC433HS/ref=sr_1_7?crid=3I9XH54X7VALF&amp;dib=eyJ2IjoiMSJ9.QOqDT66xdwtGzvBR4FSUX2VMpMWMYBGqbwcFt-zrcxpFv9vUnd8WGpsZSuRHr-80E-YDpa9NoEDbjOMatHn61XeyVM6QCJJdCO0_kXbkUlw6Efkn2uolq6RGKbFwwmvbSM41drnht8Ua1M4lmI1qsVIzCPcfB9fQGfWWXoFMd2mv3om3YhgFGcw9if71D1nJD6q1d8Fm3ZZ9ARemAhAwhAqO6eA8lfuJ17Sa3zrjNZWw_NSkGe6nuH1fLTP_kiX3PPMnqz4hsnavc6LaNffL6mxE-T4kpB45Xm7l50JJlm71OLdUpKxfk26f2Ro9FL2OXoB7Ypn-pqZvt498p8F5QeyjMBJ0Crdr0vOC-nVa-Dk.8wuI1o_hk71IbmptIMwK4aq17Ytg_qiN1lQMOTgPb0o&amp;dib_tag=se&amp;keywords=allen+key+set+short&amp;qid=1737934656&amp;s=hi&amp;sprefix=allen+key+set+shor%2Ctools%2C219&amp;sr=1-7" TargetMode="External"/><Relationship Id="rId20" Type="http://schemas.openxmlformats.org/officeDocument/2006/relationships/hyperlink" Target="https://e.tb.cn/h.hFvWE8HfWc1pSka?tk=5rJm4l9H7bX" TargetMode="External"/><Relationship Id="rId64" Type="http://schemas.openxmlformats.org/officeDocument/2006/relationships/hyperlink" Target="https://www.amazon.com/BYUEE-30-Yards-Adhesive-Scrapbooking-Wrapping/dp/B07MZQC1T2/ref=sr_1_8?crid=3996905MZK1DW&amp;dib=eyJ2IjoiMSJ9.62tqSyaGLDgnuCh0lRId4QUoOCgo39K85qTmyWq-oXKqwMHtRnRMqp1COZpNTGxyFiVyZWmj6L9dx18G1DjauKKVPd6zyipvZf4hgZcxdxsEGWuu6lCoIfpTMpXaqQhHelGd4_FCP5qpxf-mzAaXeczKbwL1HLryivyRGLVIrqbBaYgW0J55zanpogf873OLnGjPk0I6j-cvx4KTkrOWHUNzmCe06pc83Y9Co-YO1kQPLPxMIRlAkjUb46jtlyYoSl97wrgLwwz7zIzHyD_NBwoKAJUS_9yX291JNes2V2w.2q1i_x5IWh7-wySjVAtP9zvVS62K-njhtudhY-0RoDA&amp;dib_tag=se&amp;keywords=double%2Bsided%2Btape%2Bthin&amp;qid=1731304721&amp;s=hi&amp;sprefix=double%2Bsided%2Btape%2Bthin%2Ctools%2C170&amp;sr=1-8&amp;th=1" TargetMode="External"/><Relationship Id="rId63" Type="http://schemas.openxmlformats.org/officeDocument/2006/relationships/hyperlink" Target="https://www.amazon.com/Measuring-Stainless-Micrometer-Fraction-Household/dp/B0BF9LW56V/ref=sr_1_3?crid=3CZ258SFWS5H4&amp;dib=eyJ2IjoiMSJ9.l_rkEqW0UT64XiuWX4z8dpef6oZBk7soVlpaVFiPdwjAQ-0QIFbKk87k1FAci5rZUcNBmxjjVydGHAZjR-ettViEqY-4EECeedw3HRxt25ipdaGUQxTSlMMwUpoLuG3D9Fk07EyO03JI7E2j4_djysYHbHy8bqWkAOwLJ2xTrcLEwJ9gbnEtW2YM0NuZOLZVabESh0I87_qzV-qY1I32GGAyB7rxxNxAeJvzGs0Mb2w.4yQs0b-ETb1fjKpQqzjRiyH6ggM8dAmUHsJ-txZxkww&amp;dib_tag=se&amp;keywords=Digital%2Bcaliper&amp;qid=1710625415&amp;sprefix=digital%2Bcaliper%2Caps%2C154&amp;sr=8-3&amp;th=1" TargetMode="External"/><Relationship Id="rId22" Type="http://schemas.openxmlformats.org/officeDocument/2006/relationships/hyperlink" Target="https://www.amazon.com/Pieces-Washers-Sutemribor-Assortment-Threaded/dp/B0CXQ3Q8RT/ref=sr_1_2_sspa?crid=30QV9EEBJ6LVH&amp;dib=eyJ2IjoiMSJ9.jMjzRCijCmVz_DOkJXdnNugeURU8h_nM6fiDSSzL9XNWBKVHoP-fS_xA9SMbDktrJCU1HUjaCYmfrRTlPyybJmStHdADjB0zelTn5FB85UeT9Hr2hk75CQ_6uI2ipYKu1SSJ41BPTQB_KIh9oTLTJICkYZYu7yuxWUqVUa3xHsRShU2J59theCROBs0dFgDYK2JMu0rMndC5ZyBIPvQ3vYZI4XbttpFaDUN6hbOSyjjSMx5892X9yRbm859BMmb6e2wCm02_TMRlIxTg5TFbqNP4FyJJS1gGZgpLi8WFHxI.orSlKp_eEfFdUzzDg9QKRZKECh9o5LOOuGN1p3QEF1k&amp;dib_tag=se&amp;keywords=m2.5%2Bscrew%2Bset&amp;qid=1737849904&amp;s=hi&amp;sprefix=m2.5%2Bscrew%2Bse%2Ctools%2C121&amp;sr=1-2-spons&amp;sp_csd=d2lkZ2V0TmFtZT1zcF9hdGY&amp;th=1" TargetMode="External"/><Relationship Id="rId66" Type="http://schemas.openxmlformats.org/officeDocument/2006/relationships/hyperlink" Target="https://www.amazon.com/VCELINK-Automatic-Stripper-Professional-Adjustable/dp/B08G48R47N/ref=sr_1_12_sspa?crid=18OUIUHXFJC71&amp;dib=eyJ2IjoiMSJ9.dz2NFdq5AMM6e03TI3wLk80veI6Nb3n1-DkE9N7qTJ5caJu4-Mn2bRayPOlO2ZHOH-NTbeoH76kRp47ZfKsEvmF6oYlr1fQccm7d9rWqPZpJj2oLwIKzScGd-7rIV6IWFiVHFbfSrQgzUPtsIOdXGxel4oh6zKB52Vr7TWXVv62IbQYA1VS1JjhVLljhDSwx2wpJAx-TOev2snCSL5BvIYkgkFDTRvB5yqlr5yOqBGNHDuR79ucaXTRvtFG65a0AfHNtSCwS9xN31ajXC28WkEBYWw566xrgN0F_bbKnqT0.oP43OdIPh6tPIdVdRAlNcJr_ftH2ydZTUcdiIGqHjjU&amp;dib_tag=se&amp;keywords=cable%2Bstripper&amp;qid=1738573249&amp;sprefix=cable%2Bstripper%2Caps%2C274&amp;sr=8-12-spons&amp;sp_csd=d2lkZ2V0TmFtZT1zcF9tdGY&amp;th=1" TargetMode="External"/><Relationship Id="rId21" Type="http://schemas.openxmlformats.org/officeDocument/2006/relationships/hyperlink" Target="https://www.amazon.com/4mm-6mm-10mm-12mm-16mm/dp/B0BX96SMW4/ref=sr_1_3?crid=2YLZIAUUCRPKG&amp;dib=eyJ2IjoiMSJ9.hLOxPRJOemcYBeTpxsKxJnCWdZ1ms7a89XjGD1FAEoQD_CTNgdEsv4fttmh-ymFquJLvI7pa6I289I99pB3h-puqyBxwqQ63geLsgP5cY5j_fhwl8NIUM8I4cfjy7mvtyOhGh6nBvPT8SknfFBApkh8MQnMlYHHJP562ff-n2Y49iiorR4rlMiArRqGUQPfG-OQ9tlcg6Vn43_K5phpizd9IAb2h8OtujNtlM-3XKo4.W27Yrn4NW7ZlBFRMTFy3xlkwRZCd0qLxccGBI6vdP0k&amp;dib_tag=se&amp;keywords=m2%2Bscrews%2Bkit&amp;qid=1710796545&amp;sprefix=m2%2Bscrews%2Bki%2Caps%2C164&amp;sr=8-3&amp;th=1" TargetMode="External"/><Relationship Id="rId65" Type="http://schemas.openxmlformats.org/officeDocument/2006/relationships/hyperlink" Target="https://www.amazon.com/BYUEE-30-Yards-Adhesive-Scrapbooking-Wrapping/dp/B07MZQC1T2/ref=sr_1_8?crid=3996905MZK1DW&amp;dib=eyJ2IjoiMSJ9.62tqSyaGLDgnuCh0lRId4QUoOCgo39K85qTmyWq-oXKqwMHtRnRMqp1COZpNTGxyFiVyZWmj6L9dx18G1DjauKKVPd6zyipvZf4hgZcxdxsEGWuu6lCoIfpTMpXaqQhHelGd4_FCP5qpxf-mzAaXeczKbwL1HLryivyRGLVIrqbBaYgW0J55zanpogf873OLnGjPk0I6j-cvx4KTkrOWHUNzmCe06pc83Y9Co-YO1kQPLPxMIRlAkjUb46jtlyYoSl97wrgLwwz7zIzHyD_NBwoKAJUS_9yX291JNes2V2w.2q1i_x5IWh7-wySjVAtP9zvVS62K-njhtudhY-0RoDA&amp;dib_tag=se&amp;keywords=double%2Bsided%2Btape%2Bthin&amp;qid=1731304721&amp;s=hi&amp;sprefix=double%2Bsided%2Btape%2Bthin%2Ctools%2C170&amp;sr=1-8&amp;th=1" TargetMode="External"/><Relationship Id="rId24" Type="http://schemas.openxmlformats.org/officeDocument/2006/relationships/hyperlink" Target="https://www.amazon.com/M3x8mm-Metric-Stainless-Socket-%EF%BC%88M3x8mm%EF%BC%89/dp/B08ZLVXR74/ref=sr_1_1?crid=2JH76M0M7DO3G&amp;dib=eyJ2IjoiMSJ9.BjXY4r1Y5tN03BBSSUEOi7UJY6L7Zm3sApudtQKM6xQb5RAWyVAZhZ74sEsfzN7lm7VL_oX10RCyPgMdkZqBzCj2jbVhseHdBzpMb5KerIn4yG9Vrhjo72g_Gsus52jWgpALzX1ZyJ-d-bvupzbz2wSyVas52pZNG4-bSMZxZpBZjXwoXK6M0VaDAbBgehX3-pSdcS1lxnQnad0WoNMwKHlD1rrjcRyQVi-cLJ4t-_T3h2I9n0eg8TLpP8xxXiabNPvAX0-9B_iYVGUZEfuDHaGe7xsgeWOX_TfX3kQfygT8fkXCKUpVL5NGsg9F-LRCBjR5f7rSvKAjgEUd6qasTzfYO45QZMFHsBk4Qp5DrpQ.PhXc8Q260osoFKUhoK3t4Q6xmbzSmWClCuuffj6Hhp8&amp;dib_tag=se&amp;keywords=50%2BPcs%2BM3x8mm%2BMetric%2B304%2BStainless%2BSteel%2BHex%2BSocket%2BSet%2BFlat%2BPoint%2BGrub%2BScrews%2BSilver%2BTone%2Bfor%2BTowel%2BRack%2BDoor%2BKnob%2B%EF%BC%88M3x10mm%EF%BC%89&amp;qid=1737851515&amp;s=industrial&amp;sprefix=50%2Bpcs%2Bm3x8mm%2Bmetric%2B304%2Bstainless%2Bsteel%2Bhex%2Bsocket%2Bset%2Bflat%2Bpoint%2Bgrub%2Bscrews%2Bsilver%2Btone%2Bfor%2Btowel%2Brack%2Bdoor%2Bknob%2Bm3x10mm%2B%2Cindustrial%2C110&amp;sr=1-1&amp;th=1" TargetMode="External"/><Relationship Id="rId68" Type="http://schemas.openxmlformats.org/officeDocument/2006/relationships/hyperlink" Target="https://www.amazon.com/Weller-WLACCBSH-02-Soldering-Cleaner-Silicone/dp/B08FQBS97L/ref=sr_1_1_sspa?crid=3SBTRQ60M1JAX&amp;dib=eyJ2IjoiMSJ9.7HS_h2MOGPtjxHiO7U-PvBPQweWt_anYgMOBXJKWFf32sCRZuE8rw60Uci3YKzlBSaRbFst9cDjR5KahXI0pyc8p8C2Ppsjx6WzUgzzaemd_N4xUI5HQDZ71FYWpA-JlZNgZDEuibjYwrtgsUQl2ICRipNbyV5rCssHHm2Fz0YpYRCd0aMLQ4l4V1oAv0je6Y1NwB4DXM6q5bTCb0irWc6AmntxjDQNL0xDnPmNABHuzG30RPUIObJLFVWJz-JN-tXpPh4Z6C1LlXmycv7z6vdGbrB-UnyNRbGk_aQaoI_E.igeWcfaEOEiHlHw2rLfG_oxCRm6hpSCoiVyLcKpATjc&amp;dib_tag=se&amp;keywords=solder%2Bcleaner%2Bbrass&amp;qid=1710654858&amp;sprefix=solder%2Bclearn%2Caps%2C151&amp;sr=8-1-spons&amp;sp_csd=d2lkZ2V0TmFtZT1zcF9hdGY&amp;th=1" TargetMode="External"/><Relationship Id="rId23" Type="http://schemas.openxmlformats.org/officeDocument/2006/relationships/hyperlink" Target="https://www.amazon.com/Pieces-Washers-Sutemribor-Assortment-Threaded/dp/B0CNSZ3KJW/ref=sr_1_2_sspa?dib=eyJ2IjoiMSJ9.1jJUShTeOGaQnhvXoqspfqQ6ZVRObyU9xIJniZGvb6oGgvis8btYzlt6_60K7ONSeaA4FWMVSku4XiGdMSK_mT18oLJr9NTBMs8tY6D_KY31euIEHfVujlkShe6KCnrMkiQSdlDh7llUGZP9aWwDLLRw7o9mhhcBzqPkK1JKaJb55yWQQ_NzXYVLovNOxsfeffkSICc39rSGNbnJ4KIuSf12JSm_8sIFHlS_mmPTcetRJeTkzSInqCOeNAZT_1ER45tLWq7EJXJJ0qeoR4ph-vut5hgIFAp5OxPBdTGNH0g.lymOT5YL8pYxAqm8mXObunHA4zFs2Hskp2gEQxoNJ1E&amp;dib_tag=se&amp;keywords=m2%2Bflat%2Bhead%2Bblack&amp;qid=1709530895&amp;s=industrial&amp;sr=1-2-spons&amp;sp_csd=d2lkZ2V0TmFtZT1zcF9hdGY&amp;th=1" TargetMode="External"/><Relationship Id="rId67" Type="http://schemas.openxmlformats.org/officeDocument/2006/relationships/hyperlink" Target="https://www.amazon.com/Precision-Anti-Static-Electronics-Sodlering%EF%BC%8CJewelry-Laboratory/dp/B0BHP5S82C/ref=sr_1_1_sspa?crid=291KQ280YLKDE&amp;dib=eyJ2IjoiMSJ9.-a9KT1ELIX7rf4ozhvHqPh5GSYRSeT0AKJFVzLhZqC14c9TlXzhWF5bqEq7sR_EVDaJBoMlvx5fLUNafH0WHZkia_r4O_egxgdZLuTC_bP2CyrttNyRQvh9yaytzyPg7zrEwU_QDslAzyteRuEb8iwtjzGVhWN9MzIYmJ3lABGc_Ul4pqq5rSG5eB3y-nZMqBbXXoV-1m-9QRUn3w8fxxnEkkjNfESkRhgHd752ARWamwjQETEMlPJ1N8SQ0MSsllCO455aWq5nRo4dYF2E9MS6-M3o-fhqV2ZL1e5AsNsI.l3rIUm5eqdrvwVkb2on4MOwvEPKIgU0jtPIxLH0zP5g&amp;dib_tag=se&amp;keywords=tweezer%2Bsolder&amp;qid=1710654732&amp;sprefix=tweezer%2Bsolder%2Caps%2C148&amp;sr=8-1-spons&amp;sp_csd=d2lkZ2V0TmFtZT1zcF9hdGY&amp;th=1" TargetMode="External"/><Relationship Id="rId60" Type="http://schemas.openxmlformats.org/officeDocument/2006/relationships/hyperlink" Target="https://www.amazon.com/HOTO-Screwdriver-Precision-Rechargeable-Electronics/dp/B09MR5HFPB?ref_=ast_sto_dp" TargetMode="External"/><Relationship Id="rId26" Type="http://schemas.openxmlformats.org/officeDocument/2006/relationships/hyperlink" Target="https://www.amazon.com/iexcell-Metric-Socket-Button-Assortment/dp/B09TRSNVSK/ref=sr_1_3?crid=2UGHXXCDDSRA7&amp;keywords=m4%2Bscrew%2Bkit%2Bbutton%2Biexcell&amp;qid=1704697881&amp;sprefix=m%2Bscrew%2Bkit%2Bbutton%2Biexcell%2Caps%2C143&amp;sr=8-3&amp;th=1" TargetMode="External"/><Relationship Id="rId25" Type="http://schemas.openxmlformats.org/officeDocument/2006/relationships/hyperlink" Target="https://www.amazon.com/dp/B08ZLWWHK7?smid=A19KVTTJ6YOR7F&amp;ref_=chk_typ_imgToDp&amp;th=1" TargetMode="External"/><Relationship Id="rId69" Type="http://schemas.openxmlformats.org/officeDocument/2006/relationships/hyperlink" Target="https://www.amazon.com/gp/product/B07XC9VV2C/ref=ppx_yo_dt_b_search_asin_title?ie=UTF8&amp;th=1" TargetMode="External"/><Relationship Id="rId28" Type="http://schemas.openxmlformats.org/officeDocument/2006/relationships/hyperlink" Target="https://www.amazon.com/Pieces-Stainless-Kindroufly-Locknuts-Assortment/dp/B0CG9YHM8V/ref=sr_1_14?crid=2HZW606LF5XCV&amp;dib=eyJ2IjoiMSJ9.KH9GNBsRxSSZ25m1u3RMOfustnGTxYYzhxDXimz1JMnwzTQnpFdvJ18WqFyM5SawsfgaHV-KOMF8MXpzSvcnKM9XUq335fyVVNf89WEZKF4PsEYm108ATeW-9cSJ9uHd_Se--KhbGfb9iXYqWgffOq1LfX3ose0JElz4NEnc1RVzjQbTPyjNS1btjFlCGxqSsZdhG1nGWLSqvf56Z_2drTzUl6Yh2bxTOCUWP5xfuMU.gP1ApHn19xHBXdXwW8k90_E1uq5tlL9eRbA-9PdH5MU&amp;dib_tag=se&amp;keywords=stainless%2Bsteel%2Block%2Bnut%2Bassortment&amp;qid=1754546274&amp;sprefix=stainless%2Bsteel%2Block%2Bnut%2Bassortment%2Caps%2C126&amp;sr=8-14&amp;th=1" TargetMode="External"/><Relationship Id="rId27" Type="http://schemas.openxmlformats.org/officeDocument/2006/relationships/hyperlink" Target="https://www.amazon.com/dp/B07L4GDBXM?ref=ppx_yo2ov_dt_b_fed_asin_title&amp;th=1" TargetMode="External"/><Relationship Id="rId29" Type="http://schemas.openxmlformats.org/officeDocument/2006/relationships/hyperlink" Target="https://www.amazon.com/Vibra-TITE-213-Threadmate-Threadlocker-Degree/dp/B0088YEGXM/ref=sr_1_1_pp?crid=V1ON3DDARDEB&amp;dib=eyJ2IjoiMSJ9.eYZVJa3h5rOzXOAimMcLj5Re0CgJ0ReRJ2ccBymuZFrnULbW1ZIK00oLrOFVXGOu7LA05xAw4muyRTdAdNeIK_jp827qoIw3J3r4llEMoa2U2MzIHoOaifLqaMP7GI3LkBAkYcUR8gBJxXNodZyi3DFfopXvWEMaXKGCK2UEPHvtR4MI0l5DLVyAxbt1SsmsrSs3mVtxsXBfNUQQa-d6hqdzRsuvII3JGSN6jQMkM1W2NsfP_xZywwFrltD_HD1ndiESolIT75ikX89VwGjVhWNcHFPC30mo9kz3kyLsXA_N6pPlxAa79xuh8O02RmhkIqSYOktmEiGIWuVeHjJZzv0ZGbb6N9mhFxD30Vg7uZ7T4wGbpfGl4ws6TBp2TOzx4ZJGjZvd60Ub-u7_OSoj-BCyADQImhxnnPpgYH1fFr5AmAn5DJ2x2Uur99dHuW_F.56_fwXpZQp5_DV-OCIELWX-3qm5R1OGsYzHeWcGkju4&amp;dib_tag=se&amp;keywords=vibra%2Btite%2Bvc3&amp;qid=1737853588&amp;sprefix=vibra%2Btitevc3%2Caps%2C173&amp;sr=8-1&amp;th=1" TargetMode="External"/><Relationship Id="rId51" Type="http://schemas.openxmlformats.org/officeDocument/2006/relationships/hyperlink" Target="https://us.store.bambulab.com/collections/carbon-fiber/products/pla-cf?variant=41003202248840" TargetMode="External"/><Relationship Id="rId50" Type="http://schemas.openxmlformats.org/officeDocument/2006/relationships/hyperlink" Target="https://www.amazon.com/Electrical-Conductor-Flexible-Parallel-Extension/dp/B088RDY284/ref=sr_1_4?crid=2SOVP35WN176N&amp;dib=eyJ2IjoiMSJ9.rppuY68xdvrdrwBSW6ZDhgt3ycxmtZugSrSZ5mKwunA-xdD8tLj1Bni16MADIRdcbx8VsNOFDZzLm3j6-Iu60RcNV_P9kVL0fH7I3DrClzb94tNGcjnnQ832wjXC0aJ-qn35ZhtS-EyIusXxESXZR76l_t0OTtSmeM7WRFRiC_uyCh5xgyd1Ug9Zot1Xz-ha4vu6se5h69qW5T0slAjoHZfMLDUo8dhUsRTACv0eXGLMarSRxiV2pNLVJGa-Xohsa4AJJYFppJOXr3la3bM52_xAFM7rk1O66Rh5lp9Rava-qQXUTIEE3JFSWfltvq7bk2aN2thwyTkQzLSOgYL7vJAc6BawkFhj2Zhje6Xcbks.Yc3mgM3EtdHqYM5pnWNfMOObBFWlDdpFtZsrUYJtA7g&amp;dib_tag=se&amp;keywords=100FT%2B14%2F2%2BGauge%2BRed%2BBlack%2BCable%2BHookup%2BElectrical%2BWire%2C%2B14AWG%2B2%2BConductor&amp;qid=1738573061&amp;s=industrial&amp;sprefix=100ft%2B14%2F2%2Bgauge%2Bred%2Bblack%2Bcable%2Bhookup%2Belectrical%2Bwire%2C%2B14awg%2B2%2Bconductor%2Cindustrial%2C143&amp;sr=1-4&amp;th=1" TargetMode="External"/><Relationship Id="rId53" Type="http://schemas.openxmlformats.org/officeDocument/2006/relationships/hyperlink" Target="https://us.store.bambulab.com/products/x1-carbon-combo" TargetMode="External"/><Relationship Id="rId52" Type="http://schemas.openxmlformats.org/officeDocument/2006/relationships/hyperlink" Target="https://us.store.bambulab.com/products/pla-basic-filament" TargetMode="External"/><Relationship Id="rId11" Type="http://schemas.openxmlformats.org/officeDocument/2006/relationships/hyperlink" Target="https://www.robotis.us/dynamixel-xc330-t288-t/" TargetMode="External"/><Relationship Id="rId55" Type="http://schemas.openxmlformats.org/officeDocument/2006/relationships/hyperlink" Target="https://us.store.bambulab.com/products/liquid-glue-for-build-plate?_pos=2&amp;_sid=7c0e9c004&amp;_ss=r" TargetMode="External"/><Relationship Id="rId10" Type="http://schemas.openxmlformats.org/officeDocument/2006/relationships/hyperlink" Target="https://www.robotis.us/hn12-i101-set/" TargetMode="External"/><Relationship Id="rId54" Type="http://schemas.openxmlformats.org/officeDocument/2006/relationships/hyperlink" Target="https://us.store.bambulab.com/products/bambu-smooth-pei-plate" TargetMode="External"/><Relationship Id="rId13" Type="http://schemas.openxmlformats.org/officeDocument/2006/relationships/hyperlink" Target="https://www.amazon.com/dp/B0C6T11TDM?ref=ppx_yo2ov_dt_b_fed_asin_title" TargetMode="External"/><Relationship Id="rId57" Type="http://schemas.openxmlformats.org/officeDocument/2006/relationships/hyperlink" Target="https://www.amazon.com/Programmable-Precision-Multiple-Protection-Software/dp/B0928LX2D1/ref=sr_1_28?crid=1VEM9Z6VQ74GV&amp;dib=eyJ2IjoiMSJ9.GSFAAMOvhrCf3MbGOtDPyoYir5gEoj1BaGGfeOYL_ULGjHj071QN20LucGBJIEps.-5hNfIryb7Lckm_QEGRcdGCaQ8BLc-fIKNd040I0bzI&amp;dib_tag=se&amp;keywords=digital%2Bdc%2Bpower%2Bsupply&amp;qid=1727842316&amp;s=industrial&amp;sprefix=digital%2Bdc%2Bpower%2Bsupply%2B%2Cindustrial%2C135&amp;sr=1-28&amp;th=1" TargetMode="External"/><Relationship Id="rId12" Type="http://schemas.openxmlformats.org/officeDocument/2006/relationships/hyperlink" Target="https://www.seeedstudio.com/reComputer-J4012-p-5586.html" TargetMode="External"/><Relationship Id="rId56" Type="http://schemas.openxmlformats.org/officeDocument/2006/relationships/hyperlink" Target="https://us.store.bambulab.com/products/anti-vibration-feet-for-p1p" TargetMode="External"/><Relationship Id="rId91" Type="http://schemas.openxmlformats.org/officeDocument/2006/relationships/hyperlink" Target="https://www.amazon.com/Connector-pre-crimped-Housing-Adapter-Compatible/dp/B08G188ZQ8/ref=sr_1_1?crid=RWIBKRTBC7SG&amp;dib=eyJ2IjoiMSJ9.JzKW86pxNhe1eSdbGNfwP9HDMG2zdUa6-O5FcY8FOIBmLjGzyJXWw00H4BXUTcjC_GaH4Mk6nP7IkOnUnlknjBIVdZXhT0wrCe-W-cwCMD2J-mK3UmDPpPJxuqPtlrK0pIZTHQyuH8MFPbYIgMgRrHJKI_AqdqtpMvPCBnsMot5korqQ7ezkxnntxHkTLXx4RR_TDfBeYIubJSoPBFEefLKoYW2ywwrhFwCG--j1kIM.PIxvf3xX1Db6PnuSmNqNfy5JhEGSa1ReQuOjxJUhOg8&amp;dib_tag=se&amp;keywords=jst%2Bxh%2Bprecrimped%2Bkit&amp;qid=1756096992&amp;sprefix=jst%2Bxh%2Bprecrimped%2Bki%2Caps%2C196&amp;sr=8-1&amp;th=1" TargetMode="External"/><Relationship Id="rId90" Type="http://schemas.openxmlformats.org/officeDocument/2006/relationships/hyperlink" Target="https://www.amazon.com/dp/B0BSDC7L9T?ref=ppx_yo2ov_dt_b_fed_asin_title" TargetMode="External"/><Relationship Id="rId93" Type="http://schemas.openxmlformats.org/officeDocument/2006/relationships/drawing" Target="../drawings/drawing1.xml"/><Relationship Id="rId92" Type="http://schemas.openxmlformats.org/officeDocument/2006/relationships/hyperlink" Target="https://www.amazon.com/dp/B09ZKF5WR7?ref=ppx_yo2ov_dt_b_fed_asin_title" TargetMode="External"/><Relationship Id="rId15" Type="http://schemas.openxmlformats.org/officeDocument/2006/relationships/hyperlink" Target="https://www.amazon.com/dp/B07ZS75KZR?ref=ppx_yo2ov_dt_b_fed_asin_title&amp;th=1" TargetMode="External"/><Relationship Id="rId59" Type="http://schemas.openxmlformats.org/officeDocument/2006/relationships/hyperlink" Target="https://www.amazon.com/dp/B0BLMQ8BXB?starsLeft=1&amp;ref_=cm_sw_r_cso_cp_apin_dp_RDJBS7WAX5ERNPW5P4YK" TargetMode="External"/><Relationship Id="rId14" Type="http://schemas.openxmlformats.org/officeDocument/2006/relationships/hyperlink" Target="https://www.amazon.com/Antenna-Tri-Band-2-4GHz-Internal-Antennas/dp/B0CJDVZYWF/ref=sr_1_3?crid=1QM3YR6RVVX27&amp;dib=eyJ2IjoiMSJ9.sNfB-gQ-iKOMU7ggizxmHrOgwlONC1Z-UkrXYCufRjpk-lO_akj83PQK9wkIiU9iqinb4iQFJR3fY2O0Dhu8Tzth4O08cnrqn0rA5mmHPagAS7rUWuVdnYi3l3a7XbDunWe-d98-l5Gf2Zj1M--B4nrldma4BxZ9lLlUwabFd1xSBj6Imryeh2yQjzSDtsQ75chZBfaXLTK5U4ZwrQHO2rF2McWtNf3f9lGzHM8fzas.34CBcYvv8wKskhaB0Y6z4g2LiJs3Z9KBNkFBuiCSjXo&amp;dib_tag=se&amp;keywords=wifi%2Bpcb%2Bantenna&amp;qid=1731393102&amp;sprefix=wifi%2Bpcb%2B%2Caps%2C185&amp;sr=8-3&amp;th=1" TargetMode="External"/><Relationship Id="rId58" Type="http://schemas.openxmlformats.org/officeDocument/2006/relationships/hyperlink" Target="https://www.amazon.com/Sumnacon-Multimeter-Crocodile-Alligator-Stackable/dp/B071SL6PQS/ref=pd_bxgy_img_d_sccl_1/147-9037378-6374821?pd_rd_w=MjarT&amp;content-id=amzn1.sym.839d7715-b862-4989-8f65-c6f9502d15f9&amp;pf_rd_p=839d7715-b862-4989-8f65-c6f9502d15f9&amp;pf_rd_r=0SRB716VNAMCEJWJHTRA&amp;pd_rd_wg=pi1IR&amp;pd_rd_r=0218e540-c617-4a6c-ad45-4a9ba90a469a&amp;pd_rd_i=B071SL6PQS&amp;th=1" TargetMode="External"/><Relationship Id="rId17" Type="http://schemas.openxmlformats.org/officeDocument/2006/relationships/hyperlink" Target="https://brunei.desertcart.com/products/121546997-mmobiel-loud-speaker-compatible-with-iphone-se-2022-se-2020" TargetMode="External"/><Relationship Id="rId16" Type="http://schemas.openxmlformats.org/officeDocument/2006/relationships/hyperlink" Target="https://www.amazon.com/MMOBIEL-Replacement-iPhone-Plus-Screwdriver/dp/B079Z85L4N/ref=dp_prsubs_d_sccl_1/132-0833061-5290438?pd_rd_w=wlBqy&amp;content-id=amzn1.sym.20285f2e-8a53-4f04-80ac-72a8e70f8611&amp;pf_rd_p=20285f2e-8a53-4f04-80ac-72a8e70f8611&amp;pf_rd_r=9V7JWEH51NJDYWQ4HVTC&amp;pd_rd_wg=uNfgz&amp;pd_rd_r=53bb4c4c-a21b-4321-ae0c-c34a34d57cc3&amp;pd_rd_i=B079Z85L4N&amp;psc=1" TargetMode="External"/><Relationship Id="rId19" Type="http://schemas.openxmlformats.org/officeDocument/2006/relationships/hyperlink" Target="https://www.adafruit.com/product/4754?gad_source=1&amp;gclid=CjwKCAiAi6uvBhADEiwAWiyRdg1fNLp3xBcyeVn-1nHmbZWL6-wphpgUhFAJPGbg6fOQLlhOsSYK_hoCluoQAvD_BwE" TargetMode="External"/><Relationship Id="rId18" Type="http://schemas.openxmlformats.org/officeDocument/2006/relationships/hyperlink" Target="https://www.amazon.com/dp/B07WC133P4?ref=ppx_yo2ov_dt_b_fed_asin_titl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31.88"/>
    <col customWidth="1" min="3" max="3" width="24.63"/>
    <col customWidth="1" min="4" max="4" width="23.75"/>
    <col customWidth="1" min="5" max="5" width="8.75"/>
    <col customWidth="1" min="6" max="6" width="9.25"/>
    <col customWidth="1" min="7" max="10" width="9.38"/>
    <col customWidth="1" min="11" max="11" width="13.88"/>
  </cols>
  <sheetData>
    <row r="1">
      <c r="A1" s="1" t="s">
        <v>0</v>
      </c>
      <c r="B1" s="1" t="s">
        <v>2</v>
      </c>
      <c r="C1" s="3" t="s">
        <v>3</v>
      </c>
      <c r="D1" s="4" t="s">
        <v>5</v>
      </c>
      <c r="E1" s="6" t="s">
        <v>7</v>
      </c>
      <c r="F1" s="1" t="s">
        <v>8</v>
      </c>
      <c r="G1" s="1" t="s">
        <v>10</v>
      </c>
      <c r="H1" s="10" t="s">
        <v>12</v>
      </c>
      <c r="I1" s="1" t="s">
        <v>10</v>
      </c>
      <c r="J1" s="1" t="s">
        <v>15</v>
      </c>
      <c r="L1" s="12"/>
      <c r="M1" s="12"/>
      <c r="N1" s="12"/>
      <c r="O1" s="12"/>
      <c r="P1" s="12"/>
      <c r="Q1" s="12"/>
      <c r="R1" s="12"/>
      <c r="S1" s="12"/>
      <c r="T1" s="12"/>
      <c r="U1" s="12"/>
      <c r="V1" s="12"/>
      <c r="W1" s="12"/>
      <c r="X1" s="12"/>
      <c r="Y1" s="12"/>
      <c r="Z1" s="12"/>
      <c r="AA1" s="12"/>
      <c r="AB1" s="12"/>
    </row>
    <row r="2" ht="51.0" customHeight="1">
      <c r="A2" s="13" t="s">
        <v>29</v>
      </c>
      <c r="B2" s="14" t="s">
        <v>32</v>
      </c>
      <c r="C2" s="15" t="s">
        <v>34</v>
      </c>
      <c r="D2" s="15" t="s">
        <v>40</v>
      </c>
      <c r="E2" s="16">
        <v>4299.0</v>
      </c>
      <c r="F2" s="14">
        <v>1.0</v>
      </c>
      <c r="G2" s="17">
        <f>E2*F2</f>
        <v>4299</v>
      </c>
      <c r="H2" s="18"/>
      <c r="I2" s="18"/>
      <c r="J2" s="19" t="s">
        <v>41</v>
      </c>
      <c r="L2" s="20"/>
      <c r="M2" s="20"/>
      <c r="N2" s="20"/>
      <c r="O2" s="20"/>
      <c r="P2" s="20"/>
      <c r="Q2" s="20"/>
      <c r="R2" s="20"/>
      <c r="S2" s="20"/>
      <c r="T2" s="20"/>
      <c r="U2" s="20"/>
      <c r="V2" s="20"/>
      <c r="W2" s="20"/>
      <c r="X2" s="20"/>
      <c r="Y2" s="20"/>
      <c r="Z2" s="20"/>
      <c r="AA2" s="20"/>
      <c r="AB2" s="20"/>
    </row>
    <row r="3">
      <c r="A3" s="21" t="s">
        <v>42</v>
      </c>
      <c r="B3" s="21" t="s">
        <v>43</v>
      </c>
      <c r="J3" s="22"/>
      <c r="K3" s="20"/>
      <c r="L3" s="20"/>
      <c r="M3" s="20"/>
      <c r="N3" s="20"/>
      <c r="O3" s="20"/>
      <c r="P3" s="20"/>
      <c r="Q3" s="20"/>
      <c r="R3" s="20"/>
      <c r="S3" s="20"/>
      <c r="T3" s="20"/>
      <c r="U3" s="20"/>
      <c r="V3" s="20"/>
      <c r="W3" s="20"/>
      <c r="X3" s="20"/>
      <c r="Y3" s="20"/>
      <c r="Z3" s="20"/>
      <c r="AA3" s="20"/>
      <c r="AB3" s="20"/>
    </row>
    <row r="4">
      <c r="A4" s="10"/>
      <c r="B4" s="10"/>
      <c r="C4" s="10"/>
      <c r="D4" s="10"/>
      <c r="E4" s="10"/>
      <c r="F4" s="10"/>
      <c r="G4" s="10"/>
      <c r="H4" s="10"/>
      <c r="I4" s="10"/>
      <c r="J4" s="22"/>
      <c r="K4" s="22"/>
      <c r="L4" s="22"/>
      <c r="M4" s="22"/>
      <c r="N4" s="22"/>
      <c r="O4" s="22"/>
      <c r="P4" s="22"/>
      <c r="Q4" s="22"/>
      <c r="R4" s="22"/>
      <c r="S4" s="22"/>
      <c r="T4" s="22"/>
      <c r="U4" s="22"/>
      <c r="V4" s="22"/>
      <c r="W4" s="22"/>
      <c r="X4" s="22"/>
      <c r="Y4" s="22"/>
      <c r="Z4" s="22"/>
      <c r="AA4" s="22"/>
      <c r="AB4" s="22"/>
    </row>
    <row r="5">
      <c r="A5" s="21" t="s">
        <v>44</v>
      </c>
      <c r="J5" s="22"/>
      <c r="K5" s="20"/>
      <c r="L5" s="20"/>
      <c r="M5" s="20"/>
      <c r="N5" s="20"/>
      <c r="O5" s="20"/>
      <c r="P5" s="20"/>
      <c r="Q5" s="20"/>
      <c r="R5" s="20"/>
      <c r="S5" s="20"/>
      <c r="T5" s="20"/>
      <c r="U5" s="20"/>
      <c r="V5" s="20"/>
      <c r="W5" s="20"/>
      <c r="X5" s="20"/>
      <c r="Y5" s="20"/>
      <c r="Z5" s="20"/>
      <c r="AA5" s="20"/>
      <c r="AB5" s="20"/>
    </row>
    <row r="6">
      <c r="A6" s="23" t="s">
        <v>45</v>
      </c>
      <c r="B6" s="24" t="s">
        <v>46</v>
      </c>
      <c r="C6" s="25" t="s">
        <v>47</v>
      </c>
      <c r="D6" s="26"/>
      <c r="E6" s="27">
        <v>298.89</v>
      </c>
      <c r="F6" s="28">
        <v>2.0</v>
      </c>
      <c r="G6" s="29">
        <f t="shared" ref="G6:G13" si="1">E6*F6</f>
        <v>597.78</v>
      </c>
      <c r="H6" s="30">
        <v>6.0</v>
      </c>
      <c r="I6" s="29">
        <f t="shared" ref="I6:I13" si="2">E6*H6</f>
        <v>1793.34</v>
      </c>
      <c r="K6" s="20"/>
      <c r="L6" s="20"/>
      <c r="M6" s="20"/>
      <c r="N6" s="20"/>
      <c r="O6" s="20"/>
      <c r="P6" s="20"/>
      <c r="Q6" s="20"/>
      <c r="R6" s="20"/>
      <c r="S6" s="20"/>
      <c r="T6" s="20"/>
      <c r="U6" s="20"/>
      <c r="V6" s="20"/>
      <c r="W6" s="20"/>
      <c r="X6" s="20"/>
      <c r="Y6" s="20"/>
      <c r="Z6" s="20"/>
      <c r="AA6" s="20"/>
      <c r="AB6" s="20"/>
    </row>
    <row r="7">
      <c r="B7" s="24" t="s">
        <v>48</v>
      </c>
      <c r="C7" s="31" t="s">
        <v>49</v>
      </c>
      <c r="D7" s="26"/>
      <c r="E7" s="27">
        <v>149.39</v>
      </c>
      <c r="F7" s="32">
        <v>6.0</v>
      </c>
      <c r="G7" s="33">
        <f t="shared" si="1"/>
        <v>896.34</v>
      </c>
      <c r="H7" s="34">
        <v>0.0</v>
      </c>
      <c r="I7" s="33">
        <f t="shared" si="2"/>
        <v>0</v>
      </c>
      <c r="K7" s="20"/>
      <c r="L7" s="20"/>
      <c r="M7" s="20"/>
      <c r="N7" s="20"/>
      <c r="O7" s="20"/>
      <c r="P7" s="20"/>
      <c r="Q7" s="20"/>
      <c r="R7" s="20"/>
      <c r="S7" s="20"/>
      <c r="T7" s="20"/>
      <c r="U7" s="20"/>
      <c r="V7" s="20"/>
    </row>
    <row r="8">
      <c r="B8" s="35" t="s">
        <v>50</v>
      </c>
      <c r="C8" s="25" t="s">
        <v>51</v>
      </c>
      <c r="D8" s="26"/>
      <c r="E8" s="27">
        <v>103.39</v>
      </c>
      <c r="F8" s="32">
        <v>6.0</v>
      </c>
      <c r="G8" s="33">
        <f t="shared" si="1"/>
        <v>620.34</v>
      </c>
      <c r="H8" s="34">
        <v>6.0</v>
      </c>
      <c r="I8" s="33">
        <f t="shared" si="2"/>
        <v>620.34</v>
      </c>
      <c r="K8" s="20"/>
      <c r="L8" s="20"/>
      <c r="M8" s="20"/>
      <c r="N8" s="20"/>
      <c r="O8" s="20"/>
      <c r="P8" s="20"/>
      <c r="Q8" s="20"/>
      <c r="R8" s="20"/>
      <c r="S8" s="20"/>
      <c r="T8" s="20"/>
      <c r="U8" s="20"/>
      <c r="V8" s="20"/>
    </row>
    <row r="9">
      <c r="B9" s="22" t="s">
        <v>52</v>
      </c>
      <c r="C9" s="25" t="s">
        <v>53</v>
      </c>
      <c r="D9" s="26"/>
      <c r="E9" s="27">
        <v>137.89</v>
      </c>
      <c r="F9" s="32">
        <v>4.0</v>
      </c>
      <c r="G9" s="33">
        <f t="shared" si="1"/>
        <v>551.56</v>
      </c>
      <c r="H9" s="34">
        <v>4.0</v>
      </c>
      <c r="I9" s="33">
        <f t="shared" si="2"/>
        <v>551.56</v>
      </c>
      <c r="K9" s="22"/>
      <c r="L9" s="22"/>
      <c r="M9" s="22"/>
      <c r="N9" s="22"/>
      <c r="O9" s="22"/>
      <c r="P9" s="22"/>
      <c r="Q9" s="22"/>
      <c r="R9" s="22"/>
      <c r="S9" s="22"/>
      <c r="T9" s="22"/>
      <c r="U9" s="22"/>
      <c r="V9" s="22"/>
      <c r="W9" s="22"/>
      <c r="X9" s="22"/>
      <c r="Y9" s="22"/>
      <c r="Z9" s="22"/>
      <c r="AA9" s="22"/>
      <c r="AB9" s="22"/>
    </row>
    <row r="10">
      <c r="B10" s="24" t="s">
        <v>54</v>
      </c>
      <c r="C10" s="31" t="s">
        <v>55</v>
      </c>
      <c r="D10" s="26"/>
      <c r="E10" s="27">
        <v>310.39</v>
      </c>
      <c r="F10" s="32">
        <v>4.0</v>
      </c>
      <c r="G10" s="33">
        <f t="shared" si="1"/>
        <v>1241.56</v>
      </c>
      <c r="H10" s="34">
        <v>4.0</v>
      </c>
      <c r="I10" s="33">
        <f t="shared" si="2"/>
        <v>1241.56</v>
      </c>
      <c r="K10" s="20"/>
      <c r="L10" s="20"/>
      <c r="M10" s="20"/>
      <c r="N10" s="20"/>
      <c r="O10" s="20"/>
      <c r="P10" s="20"/>
      <c r="Q10" s="20"/>
      <c r="R10" s="20"/>
      <c r="S10" s="20"/>
      <c r="T10" s="20"/>
      <c r="U10" s="20"/>
      <c r="V10" s="20"/>
    </row>
    <row r="11">
      <c r="B11" s="24" t="s">
        <v>56</v>
      </c>
      <c r="C11" s="31" t="s">
        <v>57</v>
      </c>
      <c r="D11" s="26"/>
      <c r="E11" s="27">
        <v>310.39</v>
      </c>
      <c r="F11" s="32">
        <v>0.0</v>
      </c>
      <c r="G11" s="33">
        <f t="shared" si="1"/>
        <v>0</v>
      </c>
      <c r="H11" s="34">
        <v>4.0</v>
      </c>
      <c r="I11" s="33">
        <f t="shared" si="2"/>
        <v>1241.56</v>
      </c>
      <c r="K11" s="22"/>
      <c r="L11" s="22"/>
      <c r="M11" s="22"/>
      <c r="N11" s="22"/>
      <c r="O11" s="22"/>
      <c r="P11" s="22"/>
      <c r="Q11" s="22"/>
      <c r="R11" s="22"/>
      <c r="S11" s="22"/>
      <c r="T11" s="22"/>
      <c r="U11" s="22"/>
      <c r="V11" s="22"/>
      <c r="W11" s="22"/>
      <c r="X11" s="22"/>
      <c r="Y11" s="22"/>
      <c r="Z11" s="22"/>
      <c r="AA11" s="22"/>
      <c r="AB11" s="22"/>
    </row>
    <row r="12">
      <c r="B12" s="22" t="s">
        <v>58</v>
      </c>
      <c r="C12" s="25" t="s">
        <v>59</v>
      </c>
      <c r="D12" s="26"/>
      <c r="E12" s="27">
        <v>8.05</v>
      </c>
      <c r="F12" s="32">
        <v>10.0</v>
      </c>
      <c r="G12" s="33">
        <f t="shared" si="1"/>
        <v>80.5</v>
      </c>
      <c r="H12" s="34">
        <v>8.0</v>
      </c>
      <c r="I12" s="33">
        <f t="shared" si="2"/>
        <v>64.4</v>
      </c>
      <c r="K12" s="22"/>
      <c r="L12" s="22"/>
      <c r="M12" s="22"/>
      <c r="N12" s="22"/>
      <c r="O12" s="22"/>
      <c r="P12" s="22"/>
      <c r="Q12" s="22"/>
      <c r="R12" s="22"/>
      <c r="S12" s="22"/>
      <c r="T12" s="22"/>
      <c r="U12" s="22"/>
      <c r="V12" s="22"/>
      <c r="W12" s="22"/>
      <c r="X12" s="22"/>
      <c r="Y12" s="22"/>
      <c r="Z12" s="22"/>
      <c r="AA12" s="22"/>
      <c r="AB12" s="22"/>
    </row>
    <row r="13">
      <c r="B13" s="24" t="s">
        <v>60</v>
      </c>
      <c r="C13" s="31" t="s">
        <v>61</v>
      </c>
      <c r="D13" s="26"/>
      <c r="E13" s="27">
        <v>20.47</v>
      </c>
      <c r="F13" s="32">
        <v>4.0</v>
      </c>
      <c r="G13" s="33">
        <f t="shared" si="1"/>
        <v>81.88</v>
      </c>
      <c r="H13" s="34">
        <v>6.0</v>
      </c>
      <c r="I13" s="33">
        <f t="shared" si="2"/>
        <v>122.82</v>
      </c>
    </row>
    <row r="14">
      <c r="B14" s="22"/>
      <c r="C14" s="25"/>
      <c r="D14" s="36"/>
      <c r="E14" s="37"/>
      <c r="F14" s="38" t="s">
        <v>62</v>
      </c>
      <c r="G14" s="39">
        <f>SUM(G6:G13)</f>
        <v>4069.96</v>
      </c>
      <c r="H14" s="38" t="s">
        <v>63</v>
      </c>
      <c r="I14" s="39">
        <f>SUM(I6:I13)-G14</f>
        <v>1565.62</v>
      </c>
      <c r="K14" s="22"/>
      <c r="L14" s="22"/>
      <c r="M14" s="22"/>
      <c r="N14" s="22"/>
      <c r="O14" s="22"/>
      <c r="P14" s="22"/>
      <c r="Q14" s="22"/>
      <c r="R14" s="22"/>
      <c r="S14" s="22"/>
      <c r="T14" s="22"/>
      <c r="U14" s="22"/>
      <c r="V14" s="22"/>
      <c r="W14" s="22"/>
      <c r="X14" s="22"/>
      <c r="Y14" s="22"/>
      <c r="Z14" s="22"/>
      <c r="AA14" s="22"/>
      <c r="AB14" s="22"/>
    </row>
    <row r="15">
      <c r="A15" s="40" t="s">
        <v>64</v>
      </c>
      <c r="B15" s="35" t="s">
        <v>50</v>
      </c>
      <c r="C15" s="25" t="s">
        <v>65</v>
      </c>
      <c r="D15" s="36"/>
      <c r="E15" s="27">
        <v>103.39</v>
      </c>
      <c r="F15" s="41">
        <v>2.0</v>
      </c>
      <c r="G15" s="27">
        <f t="shared" ref="G15:G54" si="3">E15*F15</f>
        <v>206.78</v>
      </c>
      <c r="H15" s="42"/>
      <c r="I15" s="43"/>
      <c r="K15" s="22"/>
      <c r="L15" s="22"/>
      <c r="M15" s="22"/>
      <c r="N15" s="22"/>
      <c r="O15" s="22"/>
      <c r="P15" s="22"/>
      <c r="Q15" s="22"/>
      <c r="R15" s="22"/>
      <c r="S15" s="22"/>
      <c r="T15" s="22"/>
      <c r="U15" s="22"/>
      <c r="V15" s="22"/>
      <c r="W15" s="22"/>
      <c r="X15" s="22"/>
      <c r="Y15" s="22"/>
      <c r="Z15" s="22"/>
      <c r="AA15" s="22"/>
      <c r="AB15" s="22"/>
    </row>
    <row r="16">
      <c r="A16" s="44" t="s">
        <v>66</v>
      </c>
      <c r="B16" s="22" t="s">
        <v>67</v>
      </c>
      <c r="C16" s="25" t="s">
        <v>68</v>
      </c>
      <c r="D16" s="36"/>
      <c r="E16" s="27">
        <v>955.0</v>
      </c>
      <c r="F16" s="45">
        <v>1.0</v>
      </c>
      <c r="G16" s="27">
        <f t="shared" si="3"/>
        <v>955</v>
      </c>
      <c r="J16" s="46" t="s">
        <v>69</v>
      </c>
      <c r="K16" s="22"/>
      <c r="L16" s="22"/>
      <c r="M16" s="22"/>
      <c r="N16" s="22"/>
      <c r="O16" s="22"/>
      <c r="P16" s="22"/>
      <c r="Q16" s="22"/>
      <c r="R16" s="22"/>
      <c r="S16" s="22"/>
      <c r="T16" s="22"/>
      <c r="U16" s="22"/>
      <c r="V16" s="22"/>
      <c r="W16" s="22"/>
      <c r="X16" s="22"/>
      <c r="Y16" s="22"/>
      <c r="Z16" s="22"/>
      <c r="AA16" s="22"/>
      <c r="AB16" s="22"/>
    </row>
    <row r="17">
      <c r="B17" s="24" t="s">
        <v>70</v>
      </c>
      <c r="C17" s="31" t="s">
        <v>71</v>
      </c>
      <c r="D17" s="26"/>
      <c r="E17" s="27">
        <v>18.36</v>
      </c>
      <c r="F17" s="45">
        <v>1.0</v>
      </c>
      <c r="G17" s="27">
        <f t="shared" si="3"/>
        <v>18.36</v>
      </c>
      <c r="H17" s="22"/>
      <c r="I17" s="22"/>
      <c r="J17" s="22"/>
      <c r="K17" s="22"/>
      <c r="L17" s="22"/>
      <c r="M17" s="22"/>
      <c r="N17" s="22"/>
      <c r="O17" s="22"/>
      <c r="P17" s="22"/>
      <c r="Q17" s="22"/>
      <c r="R17" s="22"/>
      <c r="S17" s="22"/>
      <c r="T17" s="22"/>
      <c r="U17" s="22"/>
      <c r="V17" s="22"/>
      <c r="W17" s="22"/>
      <c r="X17" s="22"/>
      <c r="Y17" s="22"/>
      <c r="Z17" s="22"/>
      <c r="AA17" s="22"/>
      <c r="AB17" s="22"/>
    </row>
    <row r="18">
      <c r="B18" s="35" t="s">
        <v>72</v>
      </c>
      <c r="C18" s="31" t="s">
        <v>73</v>
      </c>
      <c r="D18" s="47"/>
      <c r="E18" s="48">
        <v>9.49</v>
      </c>
      <c r="F18" s="45">
        <v>1.0</v>
      </c>
      <c r="G18" s="27">
        <f t="shared" si="3"/>
        <v>9.49</v>
      </c>
      <c r="H18" s="22"/>
      <c r="I18" s="22"/>
      <c r="J18" s="22"/>
      <c r="K18" s="22"/>
      <c r="L18" s="22"/>
      <c r="M18" s="22"/>
      <c r="N18" s="22"/>
      <c r="O18" s="22"/>
      <c r="P18" s="22"/>
      <c r="Q18" s="22"/>
      <c r="R18" s="22"/>
      <c r="S18" s="22"/>
      <c r="T18" s="22"/>
      <c r="U18" s="22"/>
      <c r="V18" s="22"/>
      <c r="W18" s="22"/>
      <c r="X18" s="22"/>
      <c r="Y18" s="22"/>
      <c r="Z18" s="22"/>
      <c r="AA18" s="22"/>
      <c r="AB18" s="22"/>
    </row>
    <row r="19">
      <c r="A19" s="44" t="s">
        <v>74</v>
      </c>
      <c r="B19" s="22" t="s">
        <v>75</v>
      </c>
      <c r="C19" s="25" t="s">
        <v>76</v>
      </c>
      <c r="D19" s="26"/>
      <c r="E19" s="27">
        <v>49.99</v>
      </c>
      <c r="F19" s="45">
        <v>2.0</v>
      </c>
      <c r="G19" s="27">
        <f t="shared" si="3"/>
        <v>99.98</v>
      </c>
      <c r="H19" s="22"/>
      <c r="J19" s="22"/>
    </row>
    <row r="20">
      <c r="B20" s="24" t="s">
        <v>77</v>
      </c>
      <c r="C20" s="49" t="s">
        <v>78</v>
      </c>
      <c r="D20" s="50" t="s">
        <v>79</v>
      </c>
      <c r="E20" s="27">
        <v>5.99</v>
      </c>
      <c r="F20" s="45">
        <v>1.0</v>
      </c>
      <c r="G20" s="27">
        <f t="shared" si="3"/>
        <v>5.99</v>
      </c>
      <c r="H20" s="22"/>
      <c r="I20" s="22"/>
      <c r="J20" s="22"/>
      <c r="K20" s="22"/>
      <c r="L20" s="22"/>
      <c r="M20" s="22"/>
      <c r="N20" s="22"/>
      <c r="O20" s="22"/>
      <c r="P20" s="22"/>
      <c r="Q20" s="22"/>
      <c r="R20" s="22"/>
      <c r="S20" s="22"/>
      <c r="T20" s="22"/>
      <c r="U20" s="22"/>
      <c r="V20" s="22"/>
      <c r="W20" s="22"/>
      <c r="X20" s="22"/>
      <c r="Y20" s="22"/>
      <c r="Z20" s="22"/>
      <c r="AA20" s="22"/>
      <c r="AB20" s="22"/>
    </row>
    <row r="21">
      <c r="B21" s="51" t="s">
        <v>80</v>
      </c>
      <c r="C21" s="31" t="s">
        <v>81</v>
      </c>
      <c r="D21" s="52"/>
      <c r="E21" s="27">
        <v>7.99</v>
      </c>
      <c r="F21" s="45">
        <v>1.0</v>
      </c>
      <c r="G21" s="27">
        <f t="shared" si="3"/>
        <v>7.99</v>
      </c>
      <c r="H21" s="22"/>
      <c r="I21" s="22"/>
      <c r="J21" s="22"/>
      <c r="K21" s="22"/>
      <c r="L21" s="22"/>
      <c r="M21" s="22"/>
      <c r="N21" s="22"/>
      <c r="O21" s="22"/>
      <c r="P21" s="22"/>
      <c r="Q21" s="22"/>
      <c r="R21" s="22"/>
      <c r="S21" s="22"/>
      <c r="T21" s="22"/>
      <c r="U21" s="22"/>
      <c r="V21" s="22"/>
      <c r="W21" s="22"/>
      <c r="X21" s="22"/>
      <c r="Y21" s="22"/>
      <c r="Z21" s="22"/>
      <c r="AA21" s="22"/>
      <c r="AB21" s="22"/>
    </row>
    <row r="22">
      <c r="B22" s="52" t="s">
        <v>82</v>
      </c>
      <c r="C22" s="31" t="s">
        <v>83</v>
      </c>
      <c r="D22" s="52"/>
      <c r="E22" s="27">
        <v>24.95</v>
      </c>
      <c r="F22" s="45">
        <v>1.0</v>
      </c>
      <c r="G22" s="27">
        <f t="shared" si="3"/>
        <v>24.95</v>
      </c>
      <c r="H22" s="22"/>
      <c r="I22" s="22"/>
      <c r="J22" s="22"/>
      <c r="K22" s="22"/>
      <c r="L22" s="22"/>
      <c r="M22" s="22"/>
      <c r="N22" s="22"/>
      <c r="O22" s="22"/>
      <c r="P22" s="22"/>
      <c r="Q22" s="22"/>
      <c r="R22" s="22"/>
      <c r="S22" s="22"/>
      <c r="T22" s="22"/>
      <c r="U22" s="22"/>
      <c r="V22" s="22"/>
      <c r="W22" s="22"/>
      <c r="X22" s="22"/>
      <c r="Y22" s="22"/>
      <c r="Z22" s="22"/>
      <c r="AA22" s="22"/>
      <c r="AB22" s="22"/>
    </row>
    <row r="23">
      <c r="A23" s="44" t="s">
        <v>84</v>
      </c>
      <c r="B23" s="53" t="s">
        <v>85</v>
      </c>
      <c r="C23" s="54" t="s">
        <v>86</v>
      </c>
      <c r="D23" s="55"/>
      <c r="E23" s="56">
        <v>0.009</v>
      </c>
      <c r="F23" s="57">
        <v>200.0</v>
      </c>
      <c r="G23" s="56">
        <f t="shared" si="3"/>
        <v>1.8</v>
      </c>
      <c r="I23" s="22"/>
      <c r="J23" s="58" t="s">
        <v>87</v>
      </c>
      <c r="K23" s="20"/>
      <c r="L23" s="20"/>
      <c r="M23" s="20"/>
      <c r="N23" s="20"/>
      <c r="O23" s="20"/>
      <c r="P23" s="20"/>
      <c r="Q23" s="20"/>
      <c r="R23" s="20"/>
      <c r="S23" s="20"/>
      <c r="T23" s="20"/>
      <c r="U23" s="20"/>
      <c r="V23" s="20"/>
      <c r="W23" s="20"/>
      <c r="X23" s="20"/>
      <c r="Y23" s="20"/>
      <c r="Z23" s="20"/>
      <c r="AA23" s="20"/>
      <c r="AB23" s="20"/>
    </row>
    <row r="24">
      <c r="B24" s="24" t="s">
        <v>88</v>
      </c>
      <c r="C24" s="31" t="s">
        <v>89</v>
      </c>
      <c r="D24" s="52"/>
      <c r="E24" s="27">
        <v>8.99</v>
      </c>
      <c r="F24" s="45">
        <v>2.0</v>
      </c>
      <c r="G24" s="27">
        <f t="shared" si="3"/>
        <v>17.98</v>
      </c>
      <c r="H24" s="22"/>
      <c r="I24" s="22"/>
      <c r="J24" s="22"/>
      <c r="K24" s="22"/>
      <c r="L24" s="22"/>
      <c r="M24" s="22"/>
      <c r="N24" s="22"/>
      <c r="O24" s="22"/>
      <c r="P24" s="22"/>
      <c r="Q24" s="22"/>
      <c r="R24" s="22"/>
      <c r="S24" s="22"/>
      <c r="T24" s="22"/>
      <c r="U24" s="22"/>
      <c r="V24" s="22"/>
      <c r="W24" s="22"/>
      <c r="X24" s="22"/>
      <c r="Y24" s="22"/>
      <c r="Z24" s="22"/>
      <c r="AA24" s="22"/>
      <c r="AB24" s="22"/>
    </row>
    <row r="25">
      <c r="B25" s="24" t="s">
        <v>90</v>
      </c>
      <c r="C25" s="31" t="s">
        <v>91</v>
      </c>
      <c r="D25" s="52"/>
      <c r="E25" s="27">
        <v>9.99</v>
      </c>
      <c r="F25" s="45">
        <v>1.0</v>
      </c>
      <c r="G25" s="27">
        <f t="shared" si="3"/>
        <v>9.99</v>
      </c>
      <c r="H25" s="22"/>
      <c r="I25" s="22"/>
      <c r="J25" s="22"/>
      <c r="K25" s="22"/>
      <c r="L25" s="22"/>
      <c r="M25" s="22"/>
      <c r="N25" s="22"/>
      <c r="O25" s="22"/>
      <c r="P25" s="22"/>
      <c r="Q25" s="22"/>
      <c r="R25" s="22"/>
      <c r="S25" s="22"/>
      <c r="T25" s="22"/>
      <c r="U25" s="22"/>
      <c r="V25" s="22"/>
      <c r="W25" s="22"/>
      <c r="X25" s="22"/>
      <c r="Y25" s="22"/>
      <c r="Z25" s="22"/>
      <c r="AA25" s="22"/>
      <c r="AB25" s="22"/>
    </row>
    <row r="26">
      <c r="B26" s="24" t="s">
        <v>92</v>
      </c>
      <c r="C26" s="31" t="s">
        <v>93</v>
      </c>
      <c r="D26" s="52"/>
      <c r="E26" s="27">
        <v>9.99</v>
      </c>
      <c r="F26" s="45">
        <v>1.0</v>
      </c>
      <c r="G26" s="27">
        <f t="shared" si="3"/>
        <v>9.99</v>
      </c>
      <c r="H26" s="22"/>
      <c r="I26" s="22"/>
      <c r="J26" s="22"/>
      <c r="K26" s="22"/>
      <c r="L26" s="22"/>
      <c r="M26" s="22"/>
      <c r="N26" s="22"/>
      <c r="O26" s="22"/>
      <c r="P26" s="22"/>
      <c r="Q26" s="22"/>
      <c r="R26" s="22"/>
      <c r="S26" s="22"/>
      <c r="T26" s="22"/>
      <c r="U26" s="22"/>
      <c r="V26" s="22"/>
      <c r="W26" s="22"/>
      <c r="X26" s="22"/>
      <c r="Y26" s="22"/>
      <c r="Z26" s="22"/>
      <c r="AA26" s="22"/>
      <c r="AB26" s="22"/>
    </row>
    <row r="27">
      <c r="B27" s="24" t="s">
        <v>94</v>
      </c>
      <c r="C27" s="31" t="s">
        <v>95</v>
      </c>
      <c r="D27" s="52"/>
      <c r="E27" s="27">
        <v>6.99</v>
      </c>
      <c r="F27" s="45">
        <v>1.0</v>
      </c>
      <c r="G27" s="27">
        <f t="shared" si="3"/>
        <v>6.99</v>
      </c>
      <c r="H27" s="22"/>
      <c r="I27" s="22"/>
      <c r="J27" s="22"/>
      <c r="K27" s="22"/>
      <c r="L27" s="22"/>
      <c r="M27" s="22"/>
      <c r="N27" s="22"/>
      <c r="O27" s="22"/>
      <c r="P27" s="22"/>
      <c r="Q27" s="22"/>
      <c r="R27" s="22"/>
      <c r="S27" s="22"/>
      <c r="T27" s="22"/>
      <c r="U27" s="22"/>
      <c r="V27" s="22"/>
      <c r="W27" s="22"/>
      <c r="X27" s="22"/>
      <c r="Y27" s="22"/>
      <c r="Z27" s="22"/>
      <c r="AA27" s="22"/>
      <c r="AB27" s="22"/>
    </row>
    <row r="28">
      <c r="B28" s="24" t="s">
        <v>96</v>
      </c>
      <c r="C28" s="25" t="s">
        <v>97</v>
      </c>
      <c r="D28" s="52"/>
      <c r="E28" s="27">
        <v>6.99</v>
      </c>
      <c r="F28" s="45">
        <v>1.0</v>
      </c>
      <c r="G28" s="27">
        <f t="shared" si="3"/>
        <v>6.99</v>
      </c>
      <c r="H28" s="22"/>
      <c r="I28" s="22"/>
      <c r="J28" s="22"/>
      <c r="K28" s="22"/>
      <c r="L28" s="22"/>
      <c r="M28" s="22"/>
      <c r="N28" s="22"/>
      <c r="O28" s="22"/>
      <c r="P28" s="22"/>
      <c r="Q28" s="22"/>
      <c r="R28" s="22"/>
      <c r="S28" s="22"/>
      <c r="T28" s="22"/>
      <c r="U28" s="22"/>
      <c r="V28" s="22"/>
      <c r="W28" s="22"/>
      <c r="X28" s="22"/>
      <c r="Y28" s="22"/>
      <c r="Z28" s="22"/>
      <c r="AA28" s="22"/>
      <c r="AB28" s="22"/>
    </row>
    <row r="29">
      <c r="B29" s="24" t="s">
        <v>98</v>
      </c>
      <c r="C29" s="31" t="s">
        <v>99</v>
      </c>
      <c r="D29" s="52"/>
      <c r="E29" s="27">
        <v>22.38</v>
      </c>
      <c r="F29" s="45">
        <v>1.0</v>
      </c>
      <c r="G29" s="27">
        <f t="shared" si="3"/>
        <v>22.38</v>
      </c>
      <c r="H29" s="22"/>
      <c r="I29" s="22"/>
      <c r="J29" s="22"/>
      <c r="K29" s="22"/>
      <c r="L29" s="22"/>
      <c r="M29" s="22"/>
      <c r="N29" s="22"/>
      <c r="O29" s="22"/>
      <c r="P29" s="22"/>
      <c r="Q29" s="22"/>
      <c r="R29" s="22"/>
      <c r="S29" s="22"/>
      <c r="T29" s="22"/>
      <c r="U29" s="22"/>
      <c r="V29" s="22"/>
      <c r="W29" s="22"/>
      <c r="X29" s="22"/>
      <c r="Y29" s="22"/>
      <c r="Z29" s="22"/>
      <c r="AA29" s="22"/>
      <c r="AB29" s="22"/>
    </row>
    <row r="30">
      <c r="B30" s="24" t="s">
        <v>100</v>
      </c>
      <c r="C30" s="25" t="s">
        <v>101</v>
      </c>
      <c r="D30" s="52"/>
      <c r="E30" s="27">
        <v>9.58</v>
      </c>
      <c r="F30" s="45">
        <v>1.0</v>
      </c>
      <c r="G30" s="27">
        <f t="shared" si="3"/>
        <v>9.58</v>
      </c>
      <c r="H30" s="22"/>
      <c r="I30" s="22"/>
      <c r="J30" s="22"/>
      <c r="K30" s="22"/>
      <c r="L30" s="22"/>
      <c r="M30" s="22"/>
      <c r="N30" s="22"/>
      <c r="O30" s="22"/>
      <c r="P30" s="22"/>
      <c r="Q30" s="22"/>
      <c r="R30" s="22"/>
      <c r="S30" s="22"/>
      <c r="T30" s="22"/>
      <c r="U30" s="22"/>
      <c r="V30" s="22"/>
      <c r="W30" s="22"/>
      <c r="X30" s="22"/>
      <c r="Y30" s="22"/>
      <c r="Z30" s="22"/>
      <c r="AA30" s="22"/>
      <c r="AB30" s="22"/>
    </row>
    <row r="31">
      <c r="B31" s="59" t="s">
        <v>102</v>
      </c>
      <c r="C31" s="54" t="s">
        <v>103</v>
      </c>
      <c r="D31" s="55"/>
      <c r="E31" s="56">
        <v>7.98</v>
      </c>
      <c r="F31" s="57">
        <v>1.0</v>
      </c>
      <c r="G31" s="56">
        <f t="shared" si="3"/>
        <v>7.98</v>
      </c>
      <c r="H31" s="22"/>
      <c r="I31" s="22"/>
      <c r="J31" s="22"/>
      <c r="K31" s="22"/>
      <c r="L31" s="22"/>
      <c r="M31" s="22"/>
      <c r="N31" s="22"/>
      <c r="O31" s="22"/>
      <c r="P31" s="22"/>
      <c r="Q31" s="22"/>
      <c r="R31" s="22"/>
      <c r="S31" s="22"/>
      <c r="T31" s="22"/>
      <c r="U31" s="22"/>
      <c r="V31" s="22"/>
      <c r="W31" s="22"/>
      <c r="X31" s="22"/>
      <c r="Y31" s="22"/>
      <c r="Z31" s="22"/>
      <c r="AA31" s="22"/>
      <c r="AB31" s="22"/>
    </row>
    <row r="32">
      <c r="B32" s="60" t="s">
        <v>104</v>
      </c>
      <c r="C32" s="31" t="s">
        <v>105</v>
      </c>
      <c r="D32" s="52"/>
      <c r="E32" s="27">
        <v>6.55</v>
      </c>
      <c r="F32" s="45">
        <v>1.0</v>
      </c>
      <c r="G32" s="27">
        <f t="shared" si="3"/>
        <v>6.55</v>
      </c>
      <c r="H32" s="22"/>
      <c r="I32" s="22"/>
      <c r="J32" s="22"/>
      <c r="K32" s="22"/>
      <c r="L32" s="20"/>
      <c r="M32" s="20"/>
      <c r="N32" s="20"/>
      <c r="O32" s="20"/>
      <c r="P32" s="20"/>
      <c r="Q32" s="20"/>
      <c r="R32" s="20"/>
      <c r="S32" s="20"/>
      <c r="T32" s="20"/>
      <c r="U32" s="20"/>
      <c r="V32" s="20"/>
      <c r="W32" s="20"/>
      <c r="X32" s="20"/>
      <c r="Y32" s="20"/>
      <c r="Z32" s="20"/>
      <c r="AA32" s="20"/>
      <c r="AB32" s="20"/>
    </row>
    <row r="33">
      <c r="B33" s="26" t="s">
        <v>106</v>
      </c>
      <c r="C33" s="31" t="s">
        <v>107</v>
      </c>
      <c r="D33" s="52"/>
      <c r="E33" s="27">
        <v>11.96</v>
      </c>
      <c r="F33" s="45">
        <v>1.0</v>
      </c>
      <c r="G33" s="27">
        <f t="shared" si="3"/>
        <v>11.96</v>
      </c>
      <c r="H33" s="22"/>
      <c r="I33" s="22"/>
      <c r="J33" s="22"/>
      <c r="K33" s="22"/>
      <c r="L33" s="20"/>
      <c r="M33" s="20"/>
      <c r="N33" s="20"/>
      <c r="O33" s="20"/>
      <c r="P33" s="20"/>
      <c r="Q33" s="20"/>
      <c r="R33" s="20"/>
      <c r="S33" s="20"/>
      <c r="T33" s="20"/>
      <c r="U33" s="20"/>
      <c r="V33" s="20"/>
      <c r="W33" s="20"/>
      <c r="X33" s="20"/>
      <c r="Y33" s="20"/>
      <c r="Z33" s="20"/>
      <c r="AA33" s="20"/>
      <c r="AB33" s="20"/>
    </row>
    <row r="34">
      <c r="B34" s="26" t="s">
        <v>108</v>
      </c>
      <c r="C34" s="25" t="s">
        <v>109</v>
      </c>
      <c r="D34" s="52"/>
      <c r="E34" s="27">
        <v>7.99</v>
      </c>
      <c r="F34" s="45">
        <v>2.0</v>
      </c>
      <c r="G34" s="27">
        <f t="shared" si="3"/>
        <v>15.98</v>
      </c>
      <c r="H34" s="22"/>
      <c r="I34" s="22"/>
      <c r="J34" s="22"/>
      <c r="K34" s="22"/>
      <c r="L34" s="20"/>
      <c r="M34" s="20"/>
      <c r="N34" s="20"/>
      <c r="O34" s="20"/>
      <c r="P34" s="20"/>
      <c r="Q34" s="20"/>
      <c r="R34" s="20"/>
      <c r="S34" s="20"/>
      <c r="T34" s="20"/>
      <c r="U34" s="20"/>
      <c r="V34" s="20"/>
      <c r="W34" s="20"/>
      <c r="X34" s="20"/>
      <c r="Y34" s="20"/>
      <c r="Z34" s="20"/>
      <c r="AA34" s="20"/>
      <c r="AB34" s="20"/>
    </row>
    <row r="35">
      <c r="B35" s="61" t="s">
        <v>110</v>
      </c>
      <c r="C35" s="54" t="s">
        <v>111</v>
      </c>
      <c r="D35" s="62" t="s">
        <v>112</v>
      </c>
      <c r="E35" s="56">
        <v>1.48</v>
      </c>
      <c r="F35" s="57">
        <v>30.0</v>
      </c>
      <c r="G35" s="56">
        <f t="shared" si="3"/>
        <v>44.4</v>
      </c>
      <c r="H35" s="22"/>
      <c r="I35" s="22"/>
      <c r="J35" s="22"/>
      <c r="K35" s="22"/>
      <c r="L35" s="20"/>
      <c r="M35" s="20"/>
      <c r="N35" s="20"/>
      <c r="O35" s="20"/>
      <c r="P35" s="20"/>
      <c r="Q35" s="20"/>
      <c r="R35" s="20"/>
      <c r="S35" s="20"/>
      <c r="T35" s="20"/>
      <c r="U35" s="20"/>
      <c r="V35" s="20"/>
      <c r="W35" s="20"/>
      <c r="X35" s="20"/>
      <c r="Y35" s="20"/>
      <c r="Z35" s="20"/>
      <c r="AA35" s="20"/>
      <c r="AB35" s="20"/>
    </row>
    <row r="36">
      <c r="B36" s="24" t="s">
        <v>113</v>
      </c>
      <c r="C36" s="31" t="s">
        <v>114</v>
      </c>
      <c r="D36" s="26"/>
      <c r="E36" s="27">
        <v>5.99</v>
      </c>
      <c r="F36" s="45">
        <v>1.0</v>
      </c>
      <c r="G36" s="27">
        <f t="shared" si="3"/>
        <v>5.99</v>
      </c>
      <c r="H36" s="22"/>
      <c r="I36" s="22"/>
      <c r="J36" s="22"/>
      <c r="K36" s="22"/>
      <c r="L36" s="22"/>
      <c r="M36" s="22"/>
      <c r="N36" s="22"/>
      <c r="O36" s="22"/>
      <c r="P36" s="22"/>
      <c r="Q36" s="22"/>
      <c r="R36" s="22"/>
      <c r="S36" s="22"/>
      <c r="T36" s="22"/>
      <c r="U36" s="22"/>
      <c r="V36" s="22"/>
      <c r="W36" s="22"/>
      <c r="X36" s="22"/>
      <c r="Y36" s="22"/>
      <c r="Z36" s="22"/>
      <c r="AA36" s="22"/>
      <c r="AB36" s="22"/>
    </row>
    <row r="37">
      <c r="B37" s="63" t="s">
        <v>115</v>
      </c>
      <c r="C37" s="64" t="s">
        <v>116</v>
      </c>
      <c r="D37" s="61"/>
      <c r="E37" s="56">
        <v>16.99</v>
      </c>
      <c r="F37" s="57">
        <v>1.0</v>
      </c>
      <c r="G37" s="56">
        <f t="shared" si="3"/>
        <v>16.99</v>
      </c>
      <c r="H37" s="22"/>
      <c r="I37" s="22"/>
      <c r="J37" s="22"/>
      <c r="K37" s="22"/>
      <c r="L37" s="22"/>
      <c r="M37" s="22"/>
      <c r="N37" s="22"/>
      <c r="O37" s="22"/>
      <c r="P37" s="22"/>
      <c r="Q37" s="22"/>
      <c r="R37" s="22"/>
      <c r="S37" s="22"/>
      <c r="T37" s="22"/>
      <c r="U37" s="22"/>
      <c r="V37" s="22"/>
      <c r="W37" s="22"/>
      <c r="X37" s="22"/>
      <c r="Y37" s="22"/>
      <c r="Z37" s="22"/>
      <c r="AA37" s="22"/>
      <c r="AB37" s="22"/>
    </row>
    <row r="38">
      <c r="A38" s="44" t="s">
        <v>117</v>
      </c>
      <c r="B38" s="24" t="s">
        <v>118</v>
      </c>
      <c r="C38" s="31" t="s">
        <v>119</v>
      </c>
      <c r="D38" s="26"/>
      <c r="E38" s="27">
        <v>34.95</v>
      </c>
      <c r="F38" s="45">
        <v>2.0</v>
      </c>
      <c r="G38" s="27">
        <f t="shared" si="3"/>
        <v>69.9</v>
      </c>
      <c r="H38" s="22"/>
      <c r="I38" s="22"/>
      <c r="J38" s="22"/>
      <c r="K38" s="20"/>
      <c r="L38" s="20"/>
      <c r="M38" s="20"/>
      <c r="N38" s="20"/>
      <c r="O38" s="20"/>
      <c r="P38" s="20"/>
      <c r="Q38" s="20"/>
      <c r="R38" s="20"/>
      <c r="S38" s="20"/>
      <c r="T38" s="20"/>
      <c r="U38" s="20"/>
      <c r="V38" s="20"/>
      <c r="W38" s="20"/>
      <c r="X38" s="20"/>
      <c r="Y38" s="20"/>
      <c r="Z38" s="20"/>
      <c r="AA38" s="20"/>
      <c r="AB38" s="20"/>
    </row>
    <row r="39">
      <c r="B39" s="65" t="s">
        <v>120</v>
      </c>
      <c r="C39" s="66" t="s">
        <v>121</v>
      </c>
      <c r="D39" s="67"/>
      <c r="E39" s="68">
        <v>5.98</v>
      </c>
      <c r="F39" s="45">
        <v>1.0</v>
      </c>
      <c r="G39" s="69">
        <f t="shared" si="3"/>
        <v>5.98</v>
      </c>
      <c r="H39" s="22"/>
      <c r="I39" s="22"/>
      <c r="J39" s="22"/>
    </row>
    <row r="40">
      <c r="B40" s="65" t="s">
        <v>122</v>
      </c>
      <c r="C40" s="31" t="s">
        <v>123</v>
      </c>
      <c r="D40" s="26"/>
      <c r="E40" s="27">
        <v>8.99</v>
      </c>
      <c r="F40" s="45">
        <v>1.0</v>
      </c>
      <c r="G40" s="27">
        <f t="shared" si="3"/>
        <v>8.99</v>
      </c>
      <c r="H40" s="22"/>
      <c r="I40" s="22"/>
      <c r="J40" s="22"/>
    </row>
    <row r="41">
      <c r="B41" s="24" t="s">
        <v>124</v>
      </c>
      <c r="C41" s="31" t="s">
        <v>125</v>
      </c>
      <c r="D41" s="26"/>
      <c r="E41" s="27">
        <v>6.98</v>
      </c>
      <c r="F41" s="45">
        <v>1.0</v>
      </c>
      <c r="G41" s="27">
        <f t="shared" si="3"/>
        <v>6.98</v>
      </c>
      <c r="H41" s="22"/>
      <c r="I41" s="22"/>
      <c r="J41" s="22"/>
    </row>
    <row r="42">
      <c r="B42" s="24" t="s">
        <v>126</v>
      </c>
      <c r="C42" s="31" t="s">
        <v>127</v>
      </c>
      <c r="D42" s="26"/>
      <c r="E42" s="27">
        <v>6.98</v>
      </c>
      <c r="F42" s="45">
        <v>1.0</v>
      </c>
      <c r="G42" s="27">
        <f t="shared" si="3"/>
        <v>6.98</v>
      </c>
      <c r="H42" s="22"/>
      <c r="I42" s="22"/>
      <c r="J42" s="22"/>
    </row>
    <row r="43">
      <c r="B43" s="24" t="s">
        <v>128</v>
      </c>
      <c r="C43" s="66" t="s">
        <v>129</v>
      </c>
      <c r="D43" s="67"/>
      <c r="E43" s="68">
        <v>0.382</v>
      </c>
      <c r="F43" s="70">
        <v>10.0</v>
      </c>
      <c r="G43" s="69">
        <f t="shared" si="3"/>
        <v>3.82</v>
      </c>
      <c r="H43" s="22"/>
      <c r="I43" s="22"/>
      <c r="J43" s="22"/>
      <c r="K43" s="22"/>
      <c r="L43" s="22"/>
      <c r="M43" s="22"/>
      <c r="N43" s="22"/>
      <c r="O43" s="22"/>
      <c r="P43" s="22"/>
      <c r="Q43" s="22"/>
      <c r="R43" s="22"/>
      <c r="S43" s="22"/>
      <c r="T43" s="22"/>
      <c r="U43" s="22"/>
      <c r="V43" s="22"/>
      <c r="W43" s="22"/>
      <c r="X43" s="22"/>
      <c r="Y43" s="22"/>
      <c r="Z43" s="22"/>
      <c r="AA43" s="22"/>
      <c r="AB43" s="22"/>
    </row>
    <row r="44">
      <c r="B44" s="24" t="s">
        <v>130</v>
      </c>
      <c r="C44" s="66" t="s">
        <v>131</v>
      </c>
      <c r="D44" s="67"/>
      <c r="E44" s="68">
        <v>0.0468</v>
      </c>
      <c r="F44" s="70">
        <v>25.0</v>
      </c>
      <c r="G44" s="69">
        <f t="shared" si="3"/>
        <v>1.17</v>
      </c>
      <c r="H44" s="22"/>
      <c r="I44" s="22"/>
      <c r="J44" s="22"/>
      <c r="K44" s="22"/>
      <c r="L44" s="22"/>
      <c r="M44" s="22"/>
      <c r="N44" s="22"/>
      <c r="O44" s="22"/>
      <c r="P44" s="22"/>
      <c r="Q44" s="22"/>
      <c r="R44" s="22"/>
      <c r="S44" s="22"/>
      <c r="T44" s="22"/>
      <c r="U44" s="22"/>
      <c r="V44" s="22"/>
      <c r="W44" s="22"/>
      <c r="X44" s="22"/>
      <c r="Y44" s="22"/>
      <c r="Z44" s="22"/>
      <c r="AA44" s="22"/>
      <c r="AB44" s="22"/>
    </row>
    <row r="45">
      <c r="B45" s="65" t="s">
        <v>132</v>
      </c>
      <c r="C45" s="66" t="s">
        <v>133</v>
      </c>
      <c r="D45" s="67"/>
      <c r="E45" s="68">
        <v>9.99</v>
      </c>
      <c r="F45" s="70">
        <v>1.0</v>
      </c>
      <c r="G45" s="69">
        <f t="shared" si="3"/>
        <v>9.99</v>
      </c>
      <c r="H45" s="22"/>
      <c r="I45" s="22"/>
      <c r="J45" s="22"/>
      <c r="K45" s="22"/>
      <c r="L45" s="22"/>
      <c r="M45" s="22"/>
      <c r="N45" s="22"/>
      <c r="O45" s="22"/>
      <c r="P45" s="22"/>
      <c r="Q45" s="22"/>
      <c r="R45" s="22"/>
      <c r="S45" s="22"/>
      <c r="T45" s="22"/>
      <c r="U45" s="22"/>
      <c r="V45" s="22"/>
      <c r="W45" s="22"/>
      <c r="X45" s="22"/>
      <c r="Y45" s="22"/>
      <c r="Z45" s="22"/>
      <c r="AA45" s="22"/>
      <c r="AB45" s="22"/>
    </row>
    <row r="46">
      <c r="B46" s="65" t="s">
        <v>134</v>
      </c>
      <c r="C46" s="66" t="s">
        <v>135</v>
      </c>
      <c r="D46" s="67"/>
      <c r="E46" s="68">
        <v>8.99</v>
      </c>
      <c r="F46" s="70">
        <v>1.0</v>
      </c>
      <c r="G46" s="69">
        <f t="shared" si="3"/>
        <v>8.99</v>
      </c>
      <c r="H46" s="22"/>
      <c r="I46" s="22"/>
      <c r="J46" s="22"/>
      <c r="K46" s="22"/>
      <c r="L46" s="22"/>
      <c r="M46" s="22"/>
      <c r="N46" s="22"/>
      <c r="O46" s="22"/>
      <c r="P46" s="22"/>
      <c r="Q46" s="22"/>
      <c r="R46" s="22"/>
      <c r="S46" s="22"/>
      <c r="T46" s="22"/>
      <c r="U46" s="22"/>
      <c r="V46" s="22"/>
      <c r="W46" s="22"/>
      <c r="X46" s="22"/>
      <c r="Y46" s="22"/>
      <c r="Z46" s="22"/>
      <c r="AA46" s="22"/>
      <c r="AB46" s="22"/>
    </row>
    <row r="47">
      <c r="B47" s="24" t="s">
        <v>136</v>
      </c>
      <c r="C47" s="49" t="s">
        <v>137</v>
      </c>
      <c r="D47" s="52"/>
      <c r="E47" s="69">
        <v>9.49</v>
      </c>
      <c r="F47" s="45">
        <v>1.0</v>
      </c>
      <c r="G47" s="69">
        <f t="shared" si="3"/>
        <v>9.49</v>
      </c>
      <c r="H47" s="22"/>
      <c r="I47" s="22"/>
      <c r="J47" s="22"/>
    </row>
    <row r="48">
      <c r="B48" s="65" t="s">
        <v>138</v>
      </c>
      <c r="C48" s="66" t="s">
        <v>139</v>
      </c>
      <c r="D48" s="67"/>
      <c r="E48" s="68">
        <v>5.99</v>
      </c>
      <c r="F48" s="70">
        <v>1.0</v>
      </c>
      <c r="G48" s="69">
        <f t="shared" si="3"/>
        <v>5.99</v>
      </c>
      <c r="H48" s="22"/>
      <c r="I48" s="22"/>
      <c r="J48" s="22"/>
      <c r="K48" s="22"/>
      <c r="L48" s="22"/>
      <c r="M48" s="22"/>
      <c r="N48" s="22"/>
      <c r="O48" s="22"/>
      <c r="P48" s="22"/>
      <c r="Q48" s="22"/>
      <c r="R48" s="22"/>
      <c r="S48" s="22"/>
      <c r="T48" s="22"/>
      <c r="U48" s="22"/>
      <c r="V48" s="22"/>
      <c r="W48" s="22"/>
      <c r="X48" s="22"/>
      <c r="Y48" s="22"/>
      <c r="Z48" s="22"/>
      <c r="AA48" s="22"/>
      <c r="AB48" s="22"/>
    </row>
    <row r="49">
      <c r="B49" s="65" t="s">
        <v>140</v>
      </c>
      <c r="C49" s="66" t="s">
        <v>141</v>
      </c>
      <c r="D49" s="67"/>
      <c r="E49" s="68">
        <v>49.99</v>
      </c>
      <c r="F49" s="70">
        <v>1.0</v>
      </c>
      <c r="G49" s="69">
        <f t="shared" si="3"/>
        <v>49.99</v>
      </c>
      <c r="H49" s="22"/>
      <c r="I49" s="22"/>
      <c r="J49" s="22"/>
      <c r="K49" s="22"/>
      <c r="L49" s="22"/>
      <c r="M49" s="22"/>
      <c r="N49" s="22"/>
      <c r="O49" s="22"/>
      <c r="P49" s="22"/>
      <c r="Q49" s="22"/>
      <c r="R49" s="22"/>
      <c r="S49" s="22"/>
      <c r="T49" s="22"/>
      <c r="U49" s="22"/>
      <c r="V49" s="22"/>
      <c r="W49" s="22"/>
      <c r="X49" s="22"/>
      <c r="Y49" s="22"/>
      <c r="Z49" s="22"/>
      <c r="AA49" s="22"/>
      <c r="AB49" s="22"/>
    </row>
    <row r="50">
      <c r="B50" s="65" t="s">
        <v>142</v>
      </c>
      <c r="C50" s="66" t="s">
        <v>143</v>
      </c>
      <c r="D50" s="67"/>
      <c r="E50" s="68">
        <v>12.95</v>
      </c>
      <c r="F50" s="70">
        <v>1.0</v>
      </c>
      <c r="G50" s="69">
        <f t="shared" si="3"/>
        <v>12.95</v>
      </c>
      <c r="H50" s="22"/>
      <c r="I50" s="22"/>
      <c r="J50" s="22"/>
      <c r="K50" s="22"/>
      <c r="L50" s="22"/>
      <c r="M50" s="22"/>
      <c r="N50" s="22"/>
      <c r="O50" s="22"/>
      <c r="P50" s="22"/>
      <c r="Q50" s="22"/>
      <c r="R50" s="22"/>
      <c r="S50" s="22"/>
      <c r="T50" s="22"/>
      <c r="U50" s="22"/>
      <c r="V50" s="22"/>
      <c r="W50" s="22"/>
      <c r="X50" s="22"/>
      <c r="Y50" s="22"/>
      <c r="Z50" s="22"/>
      <c r="AA50" s="22"/>
      <c r="AB50" s="22"/>
    </row>
    <row r="51">
      <c r="B51" s="65" t="s">
        <v>144</v>
      </c>
      <c r="C51" s="66" t="s">
        <v>145</v>
      </c>
      <c r="D51" s="67"/>
      <c r="E51" s="68">
        <v>31.99</v>
      </c>
      <c r="F51" s="70">
        <v>1.0</v>
      </c>
      <c r="G51" s="69">
        <f t="shared" si="3"/>
        <v>31.99</v>
      </c>
      <c r="H51" s="22"/>
      <c r="I51" s="22"/>
      <c r="J51" s="22"/>
      <c r="K51" s="22"/>
      <c r="L51" s="22"/>
      <c r="M51" s="22"/>
      <c r="N51" s="22"/>
      <c r="O51" s="22"/>
      <c r="P51" s="22"/>
      <c r="Q51" s="22"/>
      <c r="R51" s="22"/>
      <c r="S51" s="22"/>
      <c r="T51" s="22"/>
      <c r="U51" s="22"/>
      <c r="V51" s="22"/>
      <c r="W51" s="22"/>
      <c r="X51" s="22"/>
      <c r="Y51" s="22"/>
      <c r="Z51" s="22"/>
      <c r="AA51" s="22"/>
      <c r="AB51" s="22"/>
    </row>
    <row r="52">
      <c r="B52" s="65" t="s">
        <v>146</v>
      </c>
      <c r="C52" s="66" t="s">
        <v>147</v>
      </c>
      <c r="D52" s="67"/>
      <c r="E52" s="68">
        <v>17.49</v>
      </c>
      <c r="F52" s="70">
        <v>1.0</v>
      </c>
      <c r="G52" s="69">
        <f t="shared" si="3"/>
        <v>17.49</v>
      </c>
      <c r="H52" s="22"/>
      <c r="I52" s="22"/>
      <c r="J52" s="22"/>
      <c r="K52" s="20"/>
      <c r="L52" s="20"/>
      <c r="M52" s="20"/>
      <c r="N52" s="20"/>
      <c r="O52" s="20"/>
      <c r="P52" s="20"/>
      <c r="Q52" s="20"/>
      <c r="R52" s="20"/>
      <c r="S52" s="20"/>
      <c r="T52" s="20"/>
      <c r="U52" s="20"/>
      <c r="V52" s="20"/>
      <c r="W52" s="20"/>
      <c r="X52" s="20"/>
      <c r="Y52" s="20"/>
      <c r="Z52" s="20"/>
      <c r="AA52" s="20"/>
      <c r="AB52" s="20"/>
    </row>
    <row r="53">
      <c r="A53" s="44" t="s">
        <v>148</v>
      </c>
      <c r="B53" s="22" t="s">
        <v>149</v>
      </c>
      <c r="C53" s="31" t="s">
        <v>150</v>
      </c>
      <c r="D53" s="52"/>
      <c r="E53" s="69">
        <v>34.99</v>
      </c>
      <c r="F53" s="45">
        <v>2.0</v>
      </c>
      <c r="G53" s="69">
        <f t="shared" si="3"/>
        <v>69.98</v>
      </c>
      <c r="H53" s="22"/>
      <c r="I53" s="22"/>
      <c r="J53" s="22"/>
      <c r="K53" s="20"/>
      <c r="L53" s="20"/>
      <c r="M53" s="20"/>
      <c r="N53" s="20"/>
      <c r="O53" s="20"/>
      <c r="P53" s="20"/>
      <c r="Q53" s="20"/>
      <c r="R53" s="20"/>
      <c r="S53" s="20"/>
      <c r="T53" s="20"/>
      <c r="U53" s="20"/>
      <c r="V53" s="20"/>
      <c r="W53" s="20"/>
      <c r="X53" s="20"/>
      <c r="Y53" s="20"/>
      <c r="Z53" s="20"/>
      <c r="AA53" s="20"/>
      <c r="AB53" s="20"/>
    </row>
    <row r="54">
      <c r="B54" s="35" t="s">
        <v>151</v>
      </c>
      <c r="C54" s="71" t="s">
        <v>152</v>
      </c>
      <c r="D54" s="52"/>
      <c r="E54" s="72">
        <v>19.99</v>
      </c>
      <c r="F54" s="73">
        <v>1.0</v>
      </c>
      <c r="G54" s="69">
        <f t="shared" si="3"/>
        <v>19.99</v>
      </c>
      <c r="H54" s="58"/>
      <c r="I54" s="22"/>
      <c r="J54" s="22"/>
      <c r="K54" s="20"/>
      <c r="L54" s="20"/>
      <c r="M54" s="20"/>
      <c r="N54" s="20"/>
      <c r="O54" s="20"/>
      <c r="P54" s="20"/>
      <c r="Q54" s="20"/>
      <c r="R54" s="20"/>
      <c r="S54" s="20"/>
      <c r="T54" s="20"/>
      <c r="U54" s="20"/>
      <c r="V54" s="20"/>
      <c r="W54" s="20"/>
      <c r="X54" s="20"/>
      <c r="Y54" s="20"/>
      <c r="Z54" s="20"/>
      <c r="AA54" s="20"/>
      <c r="AB54" s="20"/>
    </row>
    <row r="55">
      <c r="A55" s="24"/>
      <c r="B55" s="24"/>
      <c r="C55" s="74"/>
      <c r="D55" s="52"/>
      <c r="E55" s="24"/>
      <c r="F55" s="24"/>
      <c r="G55" s="75">
        <f>SUM(G5:G13,G16:G54)</f>
        <v>5727.94</v>
      </c>
      <c r="H55" s="75">
        <f>G55+I14</f>
        <v>7293.56</v>
      </c>
      <c r="I55" s="22"/>
      <c r="J55" s="22"/>
      <c r="K55" s="20"/>
      <c r="L55" s="20"/>
      <c r="M55" s="20"/>
      <c r="N55" s="20"/>
      <c r="O55" s="20"/>
      <c r="P55" s="20"/>
      <c r="Q55" s="20"/>
      <c r="R55" s="20"/>
      <c r="S55" s="20"/>
      <c r="T55" s="20"/>
      <c r="U55" s="20"/>
      <c r="V55" s="20"/>
      <c r="W55" s="20"/>
      <c r="X55" s="20"/>
      <c r="Y55" s="20"/>
      <c r="Z55" s="20"/>
      <c r="AA55" s="20"/>
      <c r="AB55" s="20"/>
    </row>
    <row r="56">
      <c r="A56" s="76"/>
      <c r="B56" s="76"/>
      <c r="C56" s="77"/>
      <c r="D56" s="76"/>
      <c r="E56" s="76"/>
      <c r="F56" s="76"/>
      <c r="G56" s="10" t="s">
        <v>153</v>
      </c>
      <c r="H56" s="10" t="s">
        <v>154</v>
      </c>
      <c r="I56" s="22"/>
      <c r="J56" s="22"/>
      <c r="K56" s="22"/>
      <c r="L56" s="22"/>
      <c r="M56" s="22"/>
      <c r="N56" s="22"/>
      <c r="O56" s="22"/>
      <c r="P56" s="22"/>
      <c r="Q56" s="22"/>
      <c r="R56" s="22"/>
      <c r="S56" s="22"/>
      <c r="T56" s="22"/>
      <c r="U56" s="22"/>
      <c r="V56" s="22"/>
      <c r="W56" s="22"/>
      <c r="X56" s="22"/>
      <c r="Y56" s="22"/>
      <c r="Z56" s="22"/>
      <c r="AA56" s="22"/>
      <c r="AB56" s="22"/>
    </row>
    <row r="57">
      <c r="A57" s="78" t="s">
        <v>155</v>
      </c>
      <c r="G57" s="79"/>
      <c r="H57" s="20"/>
      <c r="I57" s="20"/>
      <c r="J57" s="20"/>
      <c r="K57" s="20"/>
      <c r="L57" s="20"/>
      <c r="M57" s="20"/>
      <c r="N57" s="20"/>
      <c r="O57" s="20"/>
      <c r="P57" s="20"/>
      <c r="Q57" s="20"/>
      <c r="R57" s="20"/>
      <c r="S57" s="20"/>
      <c r="T57" s="20"/>
      <c r="U57" s="20"/>
      <c r="V57" s="20"/>
      <c r="W57" s="20"/>
      <c r="X57" s="20"/>
      <c r="Y57" s="20"/>
      <c r="Z57" s="20"/>
      <c r="AA57" s="20"/>
      <c r="AB57" s="20"/>
    </row>
    <row r="58">
      <c r="A58" s="13" t="s">
        <v>156</v>
      </c>
      <c r="B58" s="20" t="s">
        <v>157</v>
      </c>
      <c r="C58" s="80" t="s">
        <v>158</v>
      </c>
      <c r="E58" s="68">
        <v>1449.0</v>
      </c>
      <c r="F58" s="70">
        <v>1.0</v>
      </c>
      <c r="G58" s="69">
        <f t="shared" ref="G58:G61" si="4">F58*E58</f>
        <v>1449</v>
      </c>
      <c r="H58" s="22"/>
      <c r="I58" s="22"/>
      <c r="J58" s="22"/>
      <c r="K58" s="22"/>
      <c r="L58" s="22"/>
      <c r="M58" s="22"/>
      <c r="N58" s="22"/>
      <c r="O58" s="22"/>
      <c r="P58" s="22"/>
      <c r="Q58" s="22"/>
      <c r="R58" s="22"/>
      <c r="S58" s="22"/>
      <c r="T58" s="22"/>
      <c r="U58" s="22"/>
      <c r="V58" s="22"/>
      <c r="W58" s="22"/>
      <c r="X58" s="22"/>
      <c r="Y58" s="22"/>
      <c r="Z58" s="22"/>
      <c r="AA58" s="22"/>
      <c r="AB58" s="22"/>
    </row>
    <row r="59">
      <c r="B59" s="81" t="s">
        <v>159</v>
      </c>
      <c r="C59" s="82" t="s">
        <v>160</v>
      </c>
      <c r="E59" s="83">
        <v>37.99</v>
      </c>
      <c r="F59" s="70">
        <v>1.0</v>
      </c>
      <c r="G59" s="69">
        <f t="shared" si="4"/>
        <v>37.99</v>
      </c>
      <c r="H59" s="22"/>
      <c r="I59" s="22"/>
      <c r="J59" s="22"/>
      <c r="K59" s="22"/>
      <c r="L59" s="22"/>
      <c r="M59" s="22"/>
      <c r="N59" s="22"/>
      <c r="O59" s="22"/>
      <c r="P59" s="22"/>
      <c r="Q59" s="22"/>
      <c r="R59" s="22"/>
      <c r="S59" s="22"/>
      <c r="T59" s="22"/>
      <c r="U59" s="22"/>
      <c r="V59" s="22"/>
      <c r="W59" s="22"/>
      <c r="X59" s="22"/>
      <c r="Y59" s="22"/>
      <c r="Z59" s="22"/>
      <c r="AA59" s="22"/>
      <c r="AB59" s="22"/>
    </row>
    <row r="60">
      <c r="B60" s="81" t="s">
        <v>161</v>
      </c>
      <c r="C60" s="82" t="s">
        <v>162</v>
      </c>
      <c r="E60" s="83">
        <v>16.99</v>
      </c>
      <c r="F60" s="84">
        <v>1.0</v>
      </c>
      <c r="G60" s="69">
        <f t="shared" si="4"/>
        <v>16.99</v>
      </c>
      <c r="H60" s="22"/>
      <c r="I60" s="22"/>
      <c r="J60" s="22"/>
      <c r="K60" s="22"/>
      <c r="L60" s="22"/>
      <c r="M60" s="22"/>
      <c r="N60" s="22"/>
      <c r="O60" s="22"/>
      <c r="P60" s="22"/>
      <c r="Q60" s="22"/>
      <c r="R60" s="22"/>
      <c r="S60" s="22"/>
      <c r="T60" s="22"/>
      <c r="U60" s="22"/>
      <c r="V60" s="22"/>
      <c r="W60" s="22"/>
      <c r="X60" s="22"/>
      <c r="Y60" s="22"/>
      <c r="Z60" s="22"/>
      <c r="AA60" s="22"/>
      <c r="AB60" s="22"/>
    </row>
    <row r="61">
      <c r="B61" s="81" t="s">
        <v>163</v>
      </c>
      <c r="C61" s="80" t="s">
        <v>164</v>
      </c>
      <c r="E61" s="68">
        <v>10.99</v>
      </c>
      <c r="F61" s="70">
        <v>1.0</v>
      </c>
      <c r="G61" s="69">
        <f t="shared" si="4"/>
        <v>10.99</v>
      </c>
      <c r="H61" s="22"/>
      <c r="I61" s="22"/>
      <c r="J61" s="22"/>
      <c r="K61" s="22"/>
      <c r="L61" s="22"/>
      <c r="M61" s="22"/>
      <c r="N61" s="22"/>
      <c r="O61" s="22"/>
      <c r="P61" s="22"/>
      <c r="Q61" s="22"/>
      <c r="R61" s="22"/>
      <c r="S61" s="22"/>
      <c r="T61" s="22"/>
      <c r="U61" s="22"/>
      <c r="V61" s="22"/>
      <c r="W61" s="22"/>
      <c r="X61" s="22"/>
      <c r="Y61" s="22"/>
      <c r="Z61" s="22"/>
      <c r="AA61" s="22"/>
      <c r="AB61" s="22"/>
    </row>
    <row r="62">
      <c r="A62" s="13" t="s">
        <v>165</v>
      </c>
      <c r="B62" s="35" t="s">
        <v>166</v>
      </c>
      <c r="C62" s="49" t="s">
        <v>167</v>
      </c>
      <c r="E62" s="85">
        <v>119.99</v>
      </c>
      <c r="F62" s="45">
        <v>1.0</v>
      </c>
      <c r="G62" s="68">
        <f>E62*F62</f>
        <v>119.99</v>
      </c>
      <c r="H62" s="22"/>
      <c r="I62" s="22"/>
      <c r="J62" s="22"/>
      <c r="K62" s="22"/>
      <c r="L62" s="22"/>
      <c r="M62" s="22"/>
      <c r="N62" s="22"/>
      <c r="O62" s="22"/>
      <c r="P62" s="22"/>
      <c r="Q62" s="22"/>
      <c r="R62" s="22"/>
      <c r="S62" s="22"/>
      <c r="T62" s="22"/>
      <c r="U62" s="22"/>
      <c r="V62" s="22"/>
      <c r="W62" s="22"/>
      <c r="X62" s="22"/>
      <c r="Y62" s="22"/>
      <c r="Z62" s="22"/>
      <c r="AA62" s="22"/>
      <c r="AB62" s="22"/>
    </row>
    <row r="63">
      <c r="B63" s="35" t="s">
        <v>168</v>
      </c>
      <c r="C63" s="25" t="s">
        <v>169</v>
      </c>
      <c r="E63" s="69">
        <v>9.99</v>
      </c>
      <c r="F63" s="45">
        <v>1.0</v>
      </c>
      <c r="G63" s="69">
        <f t="shared" ref="G63:G67" si="5">F63*E63</f>
        <v>9.99</v>
      </c>
      <c r="H63" s="20"/>
      <c r="I63" s="20"/>
      <c r="J63" s="20"/>
      <c r="K63" s="20"/>
      <c r="L63" s="20"/>
      <c r="M63" s="20"/>
      <c r="N63" s="20"/>
      <c r="O63" s="20"/>
      <c r="P63" s="20"/>
      <c r="Q63" s="20"/>
      <c r="R63" s="20"/>
      <c r="S63" s="20"/>
      <c r="T63" s="20"/>
      <c r="U63" s="20"/>
      <c r="V63" s="20"/>
      <c r="W63" s="20"/>
      <c r="X63" s="20"/>
      <c r="Y63" s="20"/>
      <c r="Z63" s="20"/>
      <c r="AA63" s="20"/>
      <c r="AB63" s="20"/>
    </row>
    <row r="64">
      <c r="A64" s="13" t="s">
        <v>84</v>
      </c>
      <c r="B64" s="35" t="s">
        <v>170</v>
      </c>
      <c r="C64" s="25" t="s">
        <v>171</v>
      </c>
      <c r="E64" s="69">
        <v>64.99</v>
      </c>
      <c r="F64" s="45">
        <v>1.0</v>
      </c>
      <c r="G64" s="69">
        <f t="shared" si="5"/>
        <v>64.99</v>
      </c>
      <c r="H64" s="22"/>
      <c r="I64" s="22"/>
      <c r="J64" s="22"/>
      <c r="K64" s="22"/>
      <c r="L64" s="22"/>
      <c r="M64" s="22"/>
      <c r="N64" s="22"/>
      <c r="O64" s="22"/>
      <c r="P64" s="22"/>
      <c r="Q64" s="22"/>
      <c r="R64" s="22"/>
      <c r="S64" s="22"/>
      <c r="T64" s="22"/>
      <c r="U64" s="22"/>
      <c r="V64" s="22"/>
      <c r="W64" s="22"/>
      <c r="X64" s="22"/>
      <c r="Y64" s="22"/>
      <c r="Z64" s="22"/>
      <c r="AA64" s="22"/>
      <c r="AB64" s="22"/>
    </row>
    <row r="65">
      <c r="B65" s="81" t="s">
        <v>172</v>
      </c>
      <c r="C65" s="66" t="s">
        <v>173</v>
      </c>
      <c r="E65" s="68">
        <v>29.99</v>
      </c>
      <c r="F65" s="70">
        <v>1.0</v>
      </c>
      <c r="G65" s="68">
        <f t="shared" si="5"/>
        <v>29.99</v>
      </c>
    </row>
    <row r="66">
      <c r="B66" s="86" t="s">
        <v>174</v>
      </c>
      <c r="C66" s="82" t="s">
        <v>175</v>
      </c>
      <c r="E66" s="83">
        <v>6.95</v>
      </c>
      <c r="F66" s="84">
        <v>1.0</v>
      </c>
      <c r="G66" s="68">
        <f t="shared" si="5"/>
        <v>6.95</v>
      </c>
      <c r="H66" s="68"/>
      <c r="I66" s="87"/>
      <c r="J66" s="20"/>
      <c r="K66" s="20"/>
      <c r="L66" s="20"/>
      <c r="M66" s="20"/>
      <c r="N66" s="20"/>
      <c r="O66" s="20"/>
      <c r="P66" s="20"/>
      <c r="Q66" s="20"/>
      <c r="R66" s="20"/>
      <c r="S66" s="20"/>
      <c r="T66" s="20"/>
      <c r="U66" s="20"/>
      <c r="V66" s="20"/>
      <c r="W66" s="20"/>
      <c r="X66" s="20"/>
      <c r="Y66" s="20"/>
      <c r="Z66" s="20"/>
      <c r="AA66" s="20"/>
      <c r="AB66" s="20"/>
    </row>
    <row r="67">
      <c r="B67" s="20" t="s">
        <v>176</v>
      </c>
      <c r="C67" s="80" t="s">
        <v>177</v>
      </c>
      <c r="E67" s="68">
        <v>32.35</v>
      </c>
      <c r="F67" s="70">
        <v>1.0</v>
      </c>
      <c r="G67" s="68">
        <f t="shared" si="5"/>
        <v>32.35</v>
      </c>
      <c r="H67" s="22"/>
      <c r="I67" s="22"/>
      <c r="J67" s="22"/>
      <c r="K67" s="22"/>
      <c r="L67" s="22"/>
      <c r="M67" s="22"/>
      <c r="N67" s="22"/>
      <c r="O67" s="22"/>
      <c r="P67" s="22"/>
      <c r="Q67" s="22"/>
      <c r="R67" s="22"/>
      <c r="S67" s="22"/>
      <c r="T67" s="22"/>
      <c r="U67" s="22"/>
      <c r="V67" s="22"/>
      <c r="W67" s="22"/>
      <c r="X67" s="22"/>
      <c r="Y67" s="22"/>
      <c r="Z67" s="22"/>
      <c r="AA67" s="22"/>
      <c r="AB67" s="22"/>
    </row>
    <row r="68">
      <c r="B68" s="81" t="s">
        <v>178</v>
      </c>
      <c r="C68" s="80" t="s">
        <v>179</v>
      </c>
      <c r="E68" s="68">
        <v>29.98</v>
      </c>
      <c r="F68" s="70">
        <v>1.0</v>
      </c>
      <c r="G68" s="68">
        <f>E68*F68</f>
        <v>29.98</v>
      </c>
      <c r="H68" s="22"/>
      <c r="I68" s="22"/>
      <c r="J68" s="22"/>
      <c r="K68" s="22"/>
      <c r="L68" s="22"/>
      <c r="M68" s="22"/>
      <c r="N68" s="22"/>
      <c r="O68" s="22"/>
      <c r="P68" s="22"/>
      <c r="Q68" s="22"/>
      <c r="R68" s="22"/>
      <c r="S68" s="22"/>
      <c r="T68" s="22"/>
      <c r="U68" s="22"/>
      <c r="V68" s="22"/>
      <c r="W68" s="22"/>
      <c r="X68" s="22"/>
      <c r="Y68" s="22"/>
      <c r="Z68" s="22"/>
      <c r="AA68" s="22"/>
      <c r="AB68" s="22"/>
    </row>
    <row r="69">
      <c r="B69" s="51" t="s">
        <v>180</v>
      </c>
      <c r="C69" s="25" t="s">
        <v>181</v>
      </c>
      <c r="E69" s="27">
        <v>9.99</v>
      </c>
      <c r="F69" s="88">
        <v>1.0</v>
      </c>
      <c r="G69" s="69">
        <f t="shared" ref="G69:G78" si="6">F69*E69</f>
        <v>9.99</v>
      </c>
      <c r="I69" s="87"/>
      <c r="J69" s="22"/>
      <c r="K69" s="22"/>
      <c r="L69" s="22"/>
      <c r="M69" s="22"/>
      <c r="N69" s="22"/>
      <c r="O69" s="22"/>
      <c r="P69" s="22"/>
      <c r="Q69" s="22"/>
      <c r="R69" s="22"/>
      <c r="S69" s="22"/>
      <c r="T69" s="22"/>
      <c r="U69" s="22"/>
      <c r="V69" s="22"/>
      <c r="W69" s="22"/>
      <c r="X69" s="22"/>
      <c r="Y69" s="22"/>
      <c r="Z69" s="22"/>
      <c r="AA69" s="22"/>
      <c r="AB69" s="22"/>
    </row>
    <row r="70">
      <c r="A70" s="13" t="s">
        <v>182</v>
      </c>
      <c r="B70" s="81" t="s">
        <v>183</v>
      </c>
      <c r="C70" s="82" t="s">
        <v>184</v>
      </c>
      <c r="E70" s="27">
        <v>9.99</v>
      </c>
      <c r="F70" s="84">
        <v>1.0</v>
      </c>
      <c r="G70" s="68">
        <f t="shared" si="6"/>
        <v>9.99</v>
      </c>
      <c r="H70" s="20"/>
      <c r="I70" s="20"/>
      <c r="J70" s="20"/>
      <c r="K70" s="20"/>
      <c r="L70" s="20"/>
      <c r="M70" s="20"/>
      <c r="N70" s="20"/>
      <c r="O70" s="20"/>
      <c r="P70" s="20"/>
      <c r="Q70" s="20"/>
      <c r="R70" s="20"/>
      <c r="S70" s="20"/>
      <c r="T70" s="20"/>
      <c r="U70" s="20"/>
      <c r="V70" s="20"/>
      <c r="W70" s="20"/>
      <c r="X70" s="20"/>
      <c r="Y70" s="20"/>
      <c r="Z70" s="20"/>
      <c r="AA70" s="20"/>
      <c r="AB70" s="20"/>
    </row>
    <row r="71">
      <c r="B71" s="81" t="s">
        <v>185</v>
      </c>
      <c r="C71" s="80" t="s">
        <v>186</v>
      </c>
      <c r="E71" s="68">
        <v>5.99</v>
      </c>
      <c r="F71" s="70">
        <v>1.0</v>
      </c>
      <c r="G71" s="68">
        <f t="shared" si="6"/>
        <v>5.99</v>
      </c>
      <c r="H71" s="20"/>
      <c r="I71" s="20"/>
      <c r="J71" s="20"/>
      <c r="K71" s="20"/>
      <c r="L71" s="20"/>
      <c r="M71" s="20"/>
      <c r="N71" s="20"/>
      <c r="O71" s="20"/>
      <c r="P71" s="20"/>
      <c r="Q71" s="20"/>
      <c r="R71" s="20"/>
      <c r="S71" s="20"/>
      <c r="T71" s="20"/>
      <c r="U71" s="20"/>
      <c r="V71" s="20"/>
      <c r="W71" s="20"/>
      <c r="X71" s="20"/>
      <c r="Y71" s="20"/>
      <c r="Z71" s="20"/>
      <c r="AA71" s="20"/>
      <c r="AB71" s="20"/>
    </row>
    <row r="72">
      <c r="B72" s="81" t="s">
        <v>187</v>
      </c>
      <c r="C72" s="80" t="s">
        <v>188</v>
      </c>
      <c r="E72" s="68">
        <v>11.97</v>
      </c>
      <c r="F72" s="70">
        <v>1.0</v>
      </c>
      <c r="G72" s="68">
        <f t="shared" si="6"/>
        <v>11.97</v>
      </c>
      <c r="H72" s="20"/>
      <c r="I72" s="20"/>
      <c r="J72" s="20"/>
      <c r="K72" s="20"/>
      <c r="L72" s="20"/>
      <c r="M72" s="20"/>
      <c r="N72" s="20"/>
      <c r="O72" s="20"/>
      <c r="P72" s="20"/>
      <c r="Q72" s="20"/>
      <c r="R72" s="20"/>
      <c r="S72" s="20"/>
      <c r="T72" s="20"/>
      <c r="U72" s="20"/>
      <c r="V72" s="20"/>
      <c r="W72" s="20"/>
      <c r="X72" s="20"/>
      <c r="Y72" s="20"/>
      <c r="Z72" s="20"/>
      <c r="AA72" s="20"/>
      <c r="AB72" s="20"/>
    </row>
    <row r="73">
      <c r="B73" s="89" t="s">
        <v>189</v>
      </c>
      <c r="C73" s="90" t="s">
        <v>190</v>
      </c>
      <c r="E73" s="91">
        <v>69.99</v>
      </c>
      <c r="F73" s="92">
        <v>1.0</v>
      </c>
      <c r="G73" s="68">
        <f t="shared" si="6"/>
        <v>69.99</v>
      </c>
    </row>
    <row r="74">
      <c r="B74" s="81" t="s">
        <v>191</v>
      </c>
      <c r="C74" s="82" t="s">
        <v>192</v>
      </c>
      <c r="E74" s="83">
        <v>8.53</v>
      </c>
      <c r="F74" s="84">
        <v>1.0</v>
      </c>
      <c r="G74" s="68">
        <f t="shared" si="6"/>
        <v>8.53</v>
      </c>
      <c r="H74" s="22"/>
      <c r="I74" s="22"/>
      <c r="J74" s="22"/>
      <c r="K74" s="22"/>
      <c r="L74" s="22"/>
      <c r="M74" s="22"/>
      <c r="N74" s="22"/>
      <c r="O74" s="22"/>
      <c r="P74" s="22"/>
      <c r="Q74" s="22"/>
      <c r="R74" s="22"/>
      <c r="S74" s="22"/>
      <c r="T74" s="22"/>
      <c r="U74" s="22"/>
      <c r="V74" s="22"/>
      <c r="W74" s="22"/>
      <c r="X74" s="22"/>
      <c r="Y74" s="22"/>
      <c r="Z74" s="22"/>
      <c r="AA74" s="22"/>
      <c r="AB74" s="22"/>
    </row>
    <row r="75">
      <c r="B75" s="81" t="s">
        <v>193</v>
      </c>
      <c r="C75" s="82" t="s">
        <v>194</v>
      </c>
      <c r="E75" s="83">
        <v>6.99</v>
      </c>
      <c r="F75" s="70">
        <v>1.0</v>
      </c>
      <c r="G75" s="68">
        <f t="shared" si="6"/>
        <v>6.99</v>
      </c>
      <c r="H75" s="20"/>
      <c r="I75" s="20"/>
      <c r="J75" s="20"/>
      <c r="K75" s="20"/>
      <c r="L75" s="20"/>
      <c r="M75" s="20"/>
      <c r="N75" s="20"/>
      <c r="O75" s="20"/>
      <c r="P75" s="20"/>
      <c r="Q75" s="20"/>
      <c r="R75" s="20"/>
      <c r="S75" s="20"/>
      <c r="T75" s="20"/>
      <c r="U75" s="20"/>
      <c r="V75" s="20"/>
      <c r="W75" s="20"/>
      <c r="X75" s="20"/>
      <c r="Y75" s="20"/>
      <c r="Z75" s="20"/>
      <c r="AA75" s="20"/>
      <c r="AB75" s="20"/>
    </row>
    <row r="76">
      <c r="B76" s="81" t="s">
        <v>195</v>
      </c>
      <c r="C76" s="82" t="s">
        <v>196</v>
      </c>
      <c r="E76" s="83">
        <v>9.49</v>
      </c>
      <c r="F76" s="84">
        <v>1.0</v>
      </c>
      <c r="G76" s="68">
        <f t="shared" si="6"/>
        <v>9.49</v>
      </c>
      <c r="H76" s="22"/>
      <c r="I76" s="22"/>
      <c r="J76" s="22"/>
      <c r="K76" s="22"/>
      <c r="L76" s="22"/>
      <c r="M76" s="22"/>
      <c r="N76" s="22"/>
      <c r="O76" s="22"/>
      <c r="P76" s="22"/>
      <c r="Q76" s="22"/>
      <c r="R76" s="22"/>
      <c r="S76" s="22"/>
      <c r="T76" s="22"/>
      <c r="U76" s="22"/>
      <c r="V76" s="22"/>
      <c r="W76" s="22"/>
      <c r="X76" s="22"/>
      <c r="Y76" s="22"/>
      <c r="Z76" s="22"/>
      <c r="AA76" s="22"/>
      <c r="AB76" s="22"/>
    </row>
    <row r="77">
      <c r="B77" s="81" t="s">
        <v>197</v>
      </c>
      <c r="C77" s="82" t="s">
        <v>198</v>
      </c>
      <c r="E77" s="83">
        <v>23.99</v>
      </c>
      <c r="F77" s="84">
        <v>1.0</v>
      </c>
      <c r="G77" s="68">
        <f t="shared" si="6"/>
        <v>23.99</v>
      </c>
      <c r="H77" s="22"/>
      <c r="I77" s="22"/>
      <c r="J77" s="22"/>
      <c r="K77" s="22"/>
      <c r="L77" s="22"/>
      <c r="M77" s="22"/>
      <c r="N77" s="22"/>
      <c r="O77" s="22"/>
      <c r="P77" s="22"/>
      <c r="Q77" s="22"/>
      <c r="R77" s="22"/>
      <c r="S77" s="22"/>
      <c r="T77" s="22"/>
      <c r="U77" s="22"/>
      <c r="V77" s="22"/>
      <c r="W77" s="22"/>
      <c r="X77" s="22"/>
      <c r="Y77" s="22"/>
      <c r="Z77" s="22"/>
      <c r="AA77" s="22"/>
      <c r="AB77" s="22"/>
    </row>
    <row r="78">
      <c r="B78" s="35" t="s">
        <v>199</v>
      </c>
      <c r="C78" s="49" t="s">
        <v>200</v>
      </c>
      <c r="E78" s="85">
        <v>9.99</v>
      </c>
      <c r="F78" s="73">
        <v>1.0</v>
      </c>
      <c r="G78" s="68">
        <f t="shared" si="6"/>
        <v>9.99</v>
      </c>
      <c r="H78" s="22"/>
      <c r="I78" s="22"/>
      <c r="J78" s="22"/>
      <c r="K78" s="22"/>
      <c r="L78" s="22"/>
      <c r="M78" s="22"/>
      <c r="N78" s="22"/>
      <c r="O78" s="22"/>
      <c r="P78" s="22"/>
      <c r="Q78" s="22"/>
      <c r="R78" s="22"/>
      <c r="S78" s="22"/>
      <c r="T78" s="22"/>
      <c r="U78" s="22"/>
      <c r="V78" s="22"/>
      <c r="W78" s="22"/>
      <c r="X78" s="22"/>
      <c r="Y78" s="22"/>
      <c r="Z78" s="22"/>
      <c r="AA78" s="22"/>
      <c r="AB78" s="22"/>
    </row>
    <row r="79">
      <c r="A79" s="93"/>
      <c r="B79" s="20"/>
      <c r="C79" s="80"/>
      <c r="E79" s="68"/>
      <c r="F79" s="70"/>
      <c r="G79" s="94">
        <f>SUM(G58:G78)</f>
        <v>1976.13</v>
      </c>
      <c r="H79" s="20"/>
      <c r="I79" s="20"/>
      <c r="J79" s="20"/>
      <c r="K79" s="20"/>
      <c r="L79" s="20"/>
      <c r="M79" s="20"/>
      <c r="N79" s="20"/>
      <c r="O79" s="20"/>
      <c r="P79" s="20"/>
      <c r="Q79" s="20"/>
      <c r="R79" s="20"/>
      <c r="S79" s="20"/>
      <c r="T79" s="20"/>
      <c r="U79" s="20"/>
      <c r="V79" s="20"/>
      <c r="W79" s="20"/>
      <c r="X79" s="20"/>
      <c r="Y79" s="20"/>
      <c r="Z79" s="20"/>
      <c r="AA79" s="20"/>
      <c r="AB79" s="20"/>
    </row>
    <row r="80">
      <c r="A80" s="93"/>
      <c r="B80" s="20"/>
      <c r="C80" s="80"/>
      <c r="D80" s="68"/>
      <c r="E80" s="93"/>
      <c r="F80" s="95"/>
      <c r="G80" s="20"/>
      <c r="H80" s="20"/>
      <c r="I80" s="20"/>
      <c r="J80" s="20"/>
      <c r="K80" s="20"/>
      <c r="L80" s="20"/>
      <c r="M80" s="20"/>
      <c r="N80" s="20"/>
      <c r="O80" s="20"/>
      <c r="P80" s="20"/>
      <c r="Q80" s="20"/>
      <c r="R80" s="20"/>
      <c r="S80" s="20"/>
      <c r="T80" s="20"/>
      <c r="U80" s="20"/>
      <c r="V80" s="20"/>
      <c r="W80" s="20"/>
      <c r="X80" s="20"/>
      <c r="Y80" s="20"/>
      <c r="Z80" s="20"/>
      <c r="AA80" s="20"/>
      <c r="AB80" s="20"/>
    </row>
    <row r="81">
      <c r="A81" s="96" t="s">
        <v>201</v>
      </c>
      <c r="G81" s="79"/>
      <c r="H81" s="20"/>
      <c r="I81" s="20"/>
      <c r="J81" s="20"/>
      <c r="K81" s="20"/>
      <c r="L81" s="20"/>
      <c r="M81" s="20"/>
      <c r="N81" s="20"/>
      <c r="O81" s="20"/>
      <c r="P81" s="20"/>
      <c r="Q81" s="20"/>
      <c r="R81" s="20"/>
      <c r="S81" s="20"/>
      <c r="T81" s="20"/>
      <c r="U81" s="20"/>
      <c r="V81" s="20"/>
      <c r="W81" s="20"/>
      <c r="X81" s="20"/>
      <c r="Y81" s="20"/>
      <c r="Z81" s="20"/>
      <c r="AA81" s="20"/>
      <c r="AB81" s="20"/>
    </row>
    <row r="82">
      <c r="A82" s="13" t="s">
        <v>202</v>
      </c>
      <c r="B82" s="35" t="s">
        <v>203</v>
      </c>
      <c r="C82" s="49" t="s">
        <v>204</v>
      </c>
      <c r="E82" s="85">
        <v>24.99</v>
      </c>
      <c r="F82" s="73">
        <v>1.0</v>
      </c>
      <c r="G82" s="69">
        <f t="shared" ref="G82:G91" si="7">F82*E82</f>
        <v>24.99</v>
      </c>
      <c r="H82" s="20"/>
      <c r="I82" s="20"/>
      <c r="J82" s="20"/>
      <c r="K82" s="20"/>
      <c r="L82" s="20"/>
      <c r="M82" s="20"/>
      <c r="N82" s="20"/>
      <c r="O82" s="20"/>
      <c r="P82" s="20"/>
      <c r="Q82" s="20"/>
      <c r="R82" s="20"/>
      <c r="S82" s="20"/>
      <c r="T82" s="20"/>
      <c r="U82" s="20"/>
      <c r="V82" s="20"/>
      <c r="W82" s="20"/>
      <c r="X82" s="20"/>
      <c r="Y82" s="20"/>
      <c r="Z82" s="20"/>
      <c r="AA82" s="20"/>
      <c r="AB82" s="20"/>
    </row>
    <row r="83">
      <c r="B83" s="35" t="s">
        <v>205</v>
      </c>
      <c r="C83" s="49" t="s">
        <v>206</v>
      </c>
      <c r="E83" s="85">
        <v>55.99</v>
      </c>
      <c r="F83" s="73">
        <v>1.0</v>
      </c>
      <c r="G83" s="69">
        <f t="shared" si="7"/>
        <v>55.99</v>
      </c>
      <c r="H83" s="20"/>
      <c r="I83" s="20"/>
      <c r="J83" s="20"/>
      <c r="K83" s="20"/>
      <c r="L83" s="20"/>
      <c r="M83" s="20"/>
      <c r="N83" s="20"/>
      <c r="O83" s="20"/>
      <c r="P83" s="20"/>
      <c r="Q83" s="20"/>
      <c r="R83" s="20"/>
      <c r="S83" s="20"/>
      <c r="T83" s="20"/>
      <c r="U83" s="20"/>
      <c r="V83" s="20"/>
      <c r="W83" s="20"/>
      <c r="X83" s="20"/>
      <c r="Y83" s="20"/>
      <c r="Z83" s="20"/>
      <c r="AA83" s="20"/>
      <c r="AB83" s="20"/>
    </row>
    <row r="84">
      <c r="B84" s="35" t="s">
        <v>207</v>
      </c>
      <c r="C84" s="49" t="s">
        <v>208</v>
      </c>
      <c r="E84" s="85">
        <v>13.99</v>
      </c>
      <c r="F84" s="73">
        <v>1.0</v>
      </c>
      <c r="G84" s="69">
        <f t="shared" si="7"/>
        <v>13.99</v>
      </c>
      <c r="H84" s="20"/>
      <c r="I84" s="20"/>
      <c r="J84" s="20"/>
      <c r="K84" s="20"/>
      <c r="L84" s="20"/>
      <c r="M84" s="20"/>
      <c r="N84" s="20"/>
      <c r="O84" s="20"/>
      <c r="P84" s="20"/>
      <c r="Q84" s="20"/>
      <c r="R84" s="20"/>
      <c r="S84" s="20"/>
      <c r="T84" s="20"/>
      <c r="U84" s="20"/>
      <c r="V84" s="20"/>
      <c r="W84" s="20"/>
      <c r="X84" s="20"/>
      <c r="Y84" s="20"/>
      <c r="Z84" s="20"/>
      <c r="AA84" s="20"/>
      <c r="AB84" s="20"/>
    </row>
    <row r="85">
      <c r="B85" s="35" t="s">
        <v>209</v>
      </c>
      <c r="C85" s="49" t="s">
        <v>210</v>
      </c>
      <c r="E85" s="85">
        <v>18.99</v>
      </c>
      <c r="F85" s="73">
        <v>1.0</v>
      </c>
      <c r="G85" s="69">
        <f t="shared" si="7"/>
        <v>18.99</v>
      </c>
      <c r="H85" s="20"/>
      <c r="I85" s="20"/>
      <c r="J85" s="20"/>
      <c r="K85" s="20"/>
      <c r="L85" s="20"/>
      <c r="M85" s="20"/>
      <c r="N85" s="20"/>
      <c r="O85" s="20"/>
      <c r="P85" s="20"/>
      <c r="Q85" s="20"/>
      <c r="R85" s="20"/>
      <c r="S85" s="20"/>
      <c r="T85" s="20"/>
      <c r="U85" s="20"/>
      <c r="V85" s="20"/>
      <c r="W85" s="20"/>
      <c r="X85" s="20"/>
      <c r="Y85" s="20"/>
      <c r="Z85" s="20"/>
      <c r="AA85" s="20"/>
      <c r="AB85" s="20"/>
    </row>
    <row r="86">
      <c r="A86" s="13" t="s">
        <v>211</v>
      </c>
      <c r="B86" s="24" t="s">
        <v>48</v>
      </c>
      <c r="C86" s="25" t="s">
        <v>212</v>
      </c>
      <c r="E86" s="69">
        <v>129.9</v>
      </c>
      <c r="F86" s="73">
        <v>6.0</v>
      </c>
      <c r="G86" s="69">
        <f t="shared" si="7"/>
        <v>779.4</v>
      </c>
      <c r="H86" s="20"/>
      <c r="I86" s="20"/>
      <c r="J86" s="20"/>
      <c r="K86" s="20"/>
      <c r="L86" s="20"/>
      <c r="M86" s="20"/>
      <c r="N86" s="20"/>
      <c r="O86" s="20"/>
      <c r="P86" s="20"/>
      <c r="Q86" s="20"/>
      <c r="R86" s="20"/>
      <c r="S86" s="20"/>
      <c r="T86" s="20"/>
      <c r="U86" s="20"/>
      <c r="V86" s="20"/>
      <c r="W86" s="20"/>
      <c r="X86" s="20"/>
      <c r="Y86" s="20"/>
      <c r="Z86" s="20"/>
      <c r="AA86" s="20"/>
      <c r="AB86" s="20"/>
    </row>
    <row r="87">
      <c r="B87" s="65" t="s">
        <v>213</v>
      </c>
      <c r="C87" s="80" t="s">
        <v>214</v>
      </c>
      <c r="E87" s="68">
        <v>119.99</v>
      </c>
      <c r="F87" s="84">
        <v>2.0</v>
      </c>
      <c r="G87" s="68">
        <f t="shared" si="7"/>
        <v>239.98</v>
      </c>
      <c r="H87" s="20"/>
      <c r="I87" s="20"/>
      <c r="J87" s="20"/>
      <c r="K87" s="20"/>
      <c r="L87" s="20"/>
      <c r="M87" s="20"/>
      <c r="N87" s="20"/>
      <c r="O87" s="20"/>
      <c r="P87" s="20"/>
      <c r="Q87" s="20"/>
      <c r="R87" s="20"/>
      <c r="S87" s="20"/>
      <c r="T87" s="20"/>
      <c r="U87" s="20"/>
      <c r="V87" s="20"/>
    </row>
    <row r="88">
      <c r="B88" s="22" t="s">
        <v>215</v>
      </c>
      <c r="C88" s="25" t="s">
        <v>216</v>
      </c>
      <c r="E88" s="69">
        <v>32.1</v>
      </c>
      <c r="F88" s="73">
        <v>1.0</v>
      </c>
      <c r="G88" s="69">
        <f t="shared" si="7"/>
        <v>32.1</v>
      </c>
      <c r="H88" s="22"/>
      <c r="I88" s="22"/>
      <c r="J88" s="22"/>
      <c r="K88" s="22"/>
      <c r="L88" s="22"/>
      <c r="M88" s="22"/>
      <c r="N88" s="22"/>
      <c r="O88" s="22"/>
      <c r="P88" s="22"/>
      <c r="Q88" s="22"/>
      <c r="R88" s="22"/>
      <c r="S88" s="22"/>
      <c r="T88" s="22"/>
      <c r="U88" s="22"/>
      <c r="V88" s="22"/>
      <c r="W88" s="22"/>
      <c r="X88" s="22"/>
      <c r="Y88" s="22"/>
      <c r="Z88" s="22"/>
      <c r="AA88" s="22"/>
      <c r="AB88" s="22"/>
    </row>
    <row r="89">
      <c r="B89" s="81" t="s">
        <v>217</v>
      </c>
      <c r="C89" s="82" t="s">
        <v>218</v>
      </c>
      <c r="E89" s="83">
        <v>19.0</v>
      </c>
      <c r="F89" s="73">
        <v>1.0</v>
      </c>
      <c r="G89" s="69">
        <f t="shared" si="7"/>
        <v>19</v>
      </c>
    </row>
    <row r="90">
      <c r="B90" s="65" t="s">
        <v>219</v>
      </c>
      <c r="C90" s="66" t="s">
        <v>220</v>
      </c>
      <c r="E90" s="68">
        <v>6.99</v>
      </c>
      <c r="F90" s="70">
        <v>1.0</v>
      </c>
      <c r="G90" s="68">
        <f t="shared" si="7"/>
        <v>6.99</v>
      </c>
    </row>
    <row r="91">
      <c r="B91" s="89" t="s">
        <v>221</v>
      </c>
      <c r="C91" s="90" t="s">
        <v>222</v>
      </c>
      <c r="E91" s="83">
        <v>27.5</v>
      </c>
      <c r="F91" s="45">
        <v>1.0</v>
      </c>
      <c r="G91" s="69">
        <f t="shared" si="7"/>
        <v>27.5</v>
      </c>
      <c r="H91" s="22"/>
      <c r="I91" s="22"/>
      <c r="J91" s="22"/>
      <c r="K91" s="22"/>
      <c r="L91" s="22"/>
      <c r="M91" s="22"/>
      <c r="N91" s="22"/>
      <c r="O91" s="22"/>
      <c r="P91" s="22"/>
      <c r="Q91" s="22"/>
      <c r="R91" s="22"/>
      <c r="S91" s="22"/>
      <c r="T91" s="22"/>
      <c r="U91" s="22"/>
      <c r="V91" s="22"/>
      <c r="W91" s="22"/>
      <c r="X91" s="22"/>
      <c r="Y91" s="22"/>
      <c r="Z91" s="22"/>
      <c r="AA91" s="22"/>
      <c r="AB91" s="22"/>
    </row>
    <row r="92">
      <c r="B92" s="81" t="s">
        <v>223</v>
      </c>
      <c r="C92" s="80" t="s">
        <v>224</v>
      </c>
      <c r="E92" s="68">
        <v>4.46</v>
      </c>
      <c r="F92" s="84">
        <v>2.0</v>
      </c>
      <c r="G92" s="68">
        <f t="shared" ref="G92:G99" si="8">E92*F92</f>
        <v>8.92</v>
      </c>
      <c r="H92" s="20"/>
      <c r="I92" s="20"/>
      <c r="J92" s="20"/>
      <c r="K92" s="20"/>
      <c r="L92" s="20"/>
      <c r="M92" s="20"/>
      <c r="N92" s="20"/>
      <c r="O92" s="20"/>
      <c r="P92" s="20"/>
      <c r="Q92" s="20"/>
      <c r="R92" s="20"/>
      <c r="S92" s="20"/>
      <c r="T92" s="20"/>
      <c r="U92" s="20"/>
      <c r="V92" s="20"/>
      <c r="W92" s="20"/>
      <c r="X92" s="20"/>
      <c r="Y92" s="20"/>
      <c r="Z92" s="20"/>
      <c r="AA92" s="20"/>
      <c r="AB92" s="20"/>
    </row>
    <row r="93">
      <c r="B93" s="20" t="s">
        <v>225</v>
      </c>
      <c r="C93" s="80" t="s">
        <v>226</v>
      </c>
      <c r="E93" s="97">
        <v>9.99</v>
      </c>
      <c r="F93" s="70">
        <v>1.0</v>
      </c>
      <c r="G93" s="68">
        <f t="shared" si="8"/>
        <v>9.99</v>
      </c>
      <c r="H93" s="20"/>
      <c r="I93" s="20"/>
      <c r="J93" s="20"/>
      <c r="K93" s="20"/>
      <c r="L93" s="20"/>
      <c r="M93" s="20"/>
      <c r="N93" s="20"/>
      <c r="O93" s="20"/>
      <c r="P93" s="20"/>
      <c r="Q93" s="20"/>
      <c r="R93" s="20"/>
      <c r="S93" s="20"/>
      <c r="T93" s="20"/>
      <c r="U93" s="20"/>
      <c r="V93" s="20"/>
      <c r="W93" s="20"/>
      <c r="X93" s="20"/>
      <c r="Y93" s="20"/>
      <c r="Z93" s="20"/>
      <c r="AA93" s="20"/>
      <c r="AB93" s="20"/>
    </row>
    <row r="94">
      <c r="B94" s="81" t="s">
        <v>227</v>
      </c>
      <c r="C94" s="82" t="s">
        <v>228</v>
      </c>
      <c r="E94" s="98">
        <v>6.99</v>
      </c>
      <c r="F94" s="84">
        <v>1.0</v>
      </c>
      <c r="G94" s="68">
        <f t="shared" si="8"/>
        <v>6.99</v>
      </c>
      <c r="H94" s="20"/>
      <c r="I94" s="20"/>
      <c r="J94" s="20"/>
      <c r="K94" s="20"/>
      <c r="L94" s="20"/>
      <c r="M94" s="20"/>
      <c r="N94" s="20"/>
      <c r="O94" s="20"/>
      <c r="P94" s="20"/>
      <c r="Q94" s="20"/>
      <c r="R94" s="20"/>
      <c r="S94" s="20"/>
      <c r="T94" s="20"/>
      <c r="U94" s="20"/>
      <c r="V94" s="20"/>
      <c r="W94" s="20"/>
      <c r="X94" s="20"/>
      <c r="Y94" s="20"/>
      <c r="Z94" s="20"/>
      <c r="AA94" s="20"/>
      <c r="AB94" s="20"/>
    </row>
    <row r="95">
      <c r="B95" s="81" t="s">
        <v>229</v>
      </c>
      <c r="C95" s="49" t="s">
        <v>230</v>
      </c>
      <c r="E95" s="83">
        <v>900.0</v>
      </c>
      <c r="F95" s="84">
        <v>1.0</v>
      </c>
      <c r="G95" s="68">
        <f t="shared" si="8"/>
        <v>900</v>
      </c>
      <c r="H95" s="20"/>
      <c r="I95" s="20"/>
      <c r="J95" s="20"/>
      <c r="K95" s="20"/>
      <c r="L95" s="20"/>
      <c r="M95" s="20"/>
      <c r="N95" s="20"/>
      <c r="O95" s="20"/>
      <c r="P95" s="20"/>
      <c r="Q95" s="20"/>
      <c r="R95" s="20"/>
      <c r="S95" s="20"/>
      <c r="T95" s="20"/>
      <c r="U95" s="20"/>
      <c r="V95" s="20"/>
      <c r="W95" s="20"/>
      <c r="X95" s="20"/>
      <c r="Y95" s="20"/>
      <c r="Z95" s="20"/>
      <c r="AA95" s="20"/>
      <c r="AB95" s="20"/>
    </row>
    <row r="96">
      <c r="A96" s="13" t="s">
        <v>231</v>
      </c>
      <c r="B96" s="20" t="s">
        <v>232</v>
      </c>
      <c r="C96" s="80" t="s">
        <v>233</v>
      </c>
      <c r="E96" s="68">
        <v>8.49</v>
      </c>
      <c r="F96" s="84">
        <v>6.0</v>
      </c>
      <c r="G96" s="68">
        <f t="shared" si="8"/>
        <v>50.94</v>
      </c>
      <c r="H96" s="20"/>
      <c r="I96" s="20"/>
      <c r="J96" s="20"/>
      <c r="K96" s="20"/>
      <c r="L96" s="20"/>
      <c r="M96" s="20"/>
      <c r="N96" s="20"/>
      <c r="O96" s="20"/>
      <c r="P96" s="20"/>
      <c r="Q96" s="20"/>
      <c r="R96" s="20"/>
      <c r="S96" s="20"/>
      <c r="T96" s="20"/>
      <c r="U96" s="20"/>
      <c r="V96" s="20"/>
      <c r="W96" s="20"/>
      <c r="X96" s="20"/>
      <c r="Y96" s="20"/>
      <c r="Z96" s="20"/>
      <c r="AA96" s="20"/>
      <c r="AB96" s="20"/>
    </row>
    <row r="97">
      <c r="B97" s="35" t="s">
        <v>234</v>
      </c>
      <c r="C97" s="49" t="s">
        <v>235</v>
      </c>
      <c r="E97" s="85">
        <v>12.99</v>
      </c>
      <c r="F97" s="73">
        <v>1.0</v>
      </c>
      <c r="G97" s="68">
        <f t="shared" si="8"/>
        <v>12.99</v>
      </c>
      <c r="H97" s="20"/>
      <c r="I97" s="20"/>
      <c r="J97" s="20"/>
      <c r="K97" s="20"/>
      <c r="L97" s="20"/>
      <c r="M97" s="20"/>
      <c r="N97" s="20"/>
      <c r="O97" s="20"/>
      <c r="P97" s="20"/>
      <c r="Q97" s="20"/>
      <c r="R97" s="20"/>
      <c r="S97" s="20"/>
      <c r="T97" s="20"/>
      <c r="U97" s="20"/>
      <c r="V97" s="20"/>
      <c r="W97" s="20"/>
      <c r="X97" s="20"/>
      <c r="Y97" s="20"/>
      <c r="Z97" s="20"/>
      <c r="AA97" s="20"/>
      <c r="AB97" s="20"/>
    </row>
    <row r="98">
      <c r="B98" s="35" t="s">
        <v>236</v>
      </c>
      <c r="C98" s="49" t="s">
        <v>237</v>
      </c>
      <c r="E98" s="85">
        <v>16.99</v>
      </c>
      <c r="F98" s="73">
        <v>1.0</v>
      </c>
      <c r="G98" s="68">
        <f t="shared" si="8"/>
        <v>16.99</v>
      </c>
      <c r="H98" s="20"/>
      <c r="I98" s="20"/>
      <c r="J98" s="20"/>
      <c r="K98" s="20"/>
      <c r="L98" s="20"/>
      <c r="M98" s="20"/>
      <c r="N98" s="20"/>
      <c r="O98" s="20"/>
      <c r="P98" s="20"/>
      <c r="Q98" s="20"/>
      <c r="R98" s="20"/>
      <c r="S98" s="20"/>
      <c r="T98" s="20"/>
      <c r="U98" s="20"/>
      <c r="V98" s="20"/>
      <c r="W98" s="20"/>
      <c r="X98" s="20"/>
      <c r="Y98" s="20"/>
      <c r="Z98" s="20"/>
      <c r="AA98" s="20"/>
      <c r="AB98" s="20"/>
    </row>
    <row r="99">
      <c r="A99" s="13" t="s">
        <v>238</v>
      </c>
      <c r="B99" s="35" t="s">
        <v>239</v>
      </c>
      <c r="C99" s="49" t="s">
        <v>240</v>
      </c>
      <c r="E99" s="85">
        <v>26.98</v>
      </c>
      <c r="F99" s="73">
        <v>1.0</v>
      </c>
      <c r="G99" s="68">
        <f t="shared" si="8"/>
        <v>26.98</v>
      </c>
      <c r="H99" s="20"/>
      <c r="I99" s="20"/>
      <c r="J99" s="20"/>
      <c r="K99" s="20"/>
      <c r="L99" s="20"/>
      <c r="M99" s="20"/>
      <c r="N99" s="20"/>
      <c r="O99" s="20"/>
      <c r="P99" s="20"/>
      <c r="Q99" s="20"/>
      <c r="R99" s="20"/>
      <c r="S99" s="20"/>
      <c r="T99" s="20"/>
      <c r="U99" s="20"/>
      <c r="V99" s="20"/>
    </row>
    <row r="100">
      <c r="C100" s="99"/>
      <c r="F100" s="100"/>
      <c r="G100" s="101">
        <f>SUM(G82:G99)</f>
        <v>2252.73</v>
      </c>
    </row>
    <row r="101">
      <c r="A101" s="46"/>
      <c r="C101" s="99"/>
      <c r="F101" s="100"/>
    </row>
    <row r="102">
      <c r="A102" s="70"/>
      <c r="B102" s="20"/>
      <c r="C102" s="80"/>
      <c r="D102" s="68"/>
      <c r="E102" s="70"/>
      <c r="F102" s="70"/>
    </row>
    <row r="103">
      <c r="A103" s="93"/>
      <c r="B103" s="20"/>
      <c r="C103" s="80"/>
      <c r="D103" s="68"/>
      <c r="E103" s="93"/>
      <c r="F103" s="70"/>
      <c r="G103" s="22"/>
      <c r="H103" s="20"/>
      <c r="I103" s="20"/>
      <c r="J103" s="20"/>
      <c r="K103" s="20"/>
      <c r="L103" s="20"/>
      <c r="M103" s="20"/>
      <c r="N103" s="20"/>
      <c r="O103" s="20"/>
      <c r="P103" s="20"/>
      <c r="Q103" s="20"/>
      <c r="R103" s="20"/>
      <c r="S103" s="20"/>
      <c r="T103" s="20"/>
      <c r="U103" s="20"/>
      <c r="V103" s="20"/>
      <c r="W103" s="20"/>
      <c r="X103" s="20"/>
      <c r="Y103" s="20"/>
      <c r="Z103" s="20"/>
      <c r="AA103" s="20"/>
      <c r="AB103" s="20"/>
    </row>
    <row r="104">
      <c r="A104" s="93"/>
      <c r="B104" s="20"/>
      <c r="C104" s="80"/>
      <c r="D104" s="68"/>
      <c r="E104" s="93"/>
      <c r="F104" s="70"/>
      <c r="G104" s="22"/>
      <c r="H104" s="20"/>
      <c r="I104" s="20"/>
      <c r="J104" s="20"/>
      <c r="K104" s="20"/>
      <c r="L104" s="20"/>
      <c r="M104" s="20"/>
      <c r="N104" s="20"/>
      <c r="O104" s="20"/>
      <c r="P104" s="20"/>
      <c r="Q104" s="20"/>
      <c r="R104" s="20"/>
      <c r="S104" s="20"/>
      <c r="T104" s="20"/>
      <c r="U104" s="20"/>
      <c r="V104" s="20"/>
      <c r="W104" s="20"/>
      <c r="X104" s="20"/>
      <c r="Y104" s="20"/>
      <c r="Z104" s="20"/>
      <c r="AA104" s="20"/>
      <c r="AB104" s="20"/>
    </row>
    <row r="105">
      <c r="A105" s="93"/>
      <c r="B105" s="20"/>
      <c r="C105" s="80"/>
      <c r="D105" s="68"/>
      <c r="E105" s="93"/>
      <c r="F105" s="7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c r="A106" s="93"/>
      <c r="B106" s="65"/>
      <c r="C106" s="66"/>
      <c r="D106" s="68"/>
      <c r="E106" s="70"/>
      <c r="F106" s="7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c r="C107" s="99"/>
      <c r="F107" s="10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c r="A108" s="93"/>
      <c r="B108" s="20"/>
      <c r="C108" s="80"/>
      <c r="D108" s="68"/>
      <c r="E108" s="93"/>
      <c r="F108" s="70"/>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c r="C109" s="99"/>
      <c r="F109" s="100"/>
    </row>
    <row r="110">
      <c r="A110" s="70"/>
      <c r="B110" s="24"/>
      <c r="C110" s="31"/>
      <c r="D110" s="69"/>
      <c r="E110" s="45"/>
      <c r="F110" s="45"/>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c r="A111" s="45"/>
      <c r="B111" s="24"/>
      <c r="C111" s="31"/>
      <c r="D111" s="69"/>
      <c r="E111" s="87"/>
      <c r="F111" s="45"/>
      <c r="G111" s="22"/>
      <c r="H111" s="20"/>
      <c r="I111" s="20"/>
      <c r="J111" s="20"/>
      <c r="K111" s="20"/>
      <c r="L111" s="20"/>
      <c r="M111" s="20"/>
      <c r="N111" s="20"/>
      <c r="O111" s="20"/>
      <c r="P111" s="20"/>
      <c r="Q111" s="20"/>
      <c r="R111" s="20"/>
      <c r="S111" s="20"/>
      <c r="T111" s="20"/>
      <c r="U111" s="20"/>
      <c r="V111" s="20"/>
      <c r="W111" s="20"/>
      <c r="X111" s="20"/>
      <c r="Y111" s="20"/>
      <c r="Z111" s="20"/>
      <c r="AA111" s="20"/>
      <c r="AB111" s="20"/>
    </row>
    <row r="112">
      <c r="A112" s="87"/>
      <c r="B112" s="20"/>
      <c r="C112" s="82"/>
      <c r="D112" s="69"/>
      <c r="E112" s="87"/>
      <c r="F112" s="45"/>
      <c r="G112" s="22"/>
      <c r="H112" s="20"/>
      <c r="I112" s="20"/>
      <c r="J112" s="20"/>
      <c r="K112" s="20"/>
      <c r="L112" s="20"/>
      <c r="M112" s="20"/>
      <c r="N112" s="20"/>
      <c r="O112" s="20"/>
      <c r="P112" s="20"/>
      <c r="Q112" s="20"/>
      <c r="R112" s="20"/>
      <c r="S112" s="20"/>
      <c r="T112" s="20"/>
      <c r="U112" s="20"/>
      <c r="V112" s="20"/>
      <c r="W112" s="20"/>
      <c r="X112" s="20"/>
      <c r="Y112" s="20"/>
      <c r="Z112" s="20"/>
      <c r="AA112" s="20"/>
      <c r="AB112" s="20"/>
    </row>
    <row r="113">
      <c r="A113" s="87"/>
      <c r="C113" s="99"/>
      <c r="D113" s="83"/>
      <c r="E113" s="87"/>
      <c r="F113" s="45"/>
      <c r="G113" s="22"/>
      <c r="H113" s="20"/>
      <c r="I113" s="20"/>
      <c r="J113" s="20"/>
      <c r="K113" s="20"/>
      <c r="L113" s="20"/>
      <c r="M113" s="20"/>
      <c r="N113" s="20"/>
      <c r="O113" s="20"/>
      <c r="P113" s="20"/>
      <c r="Q113" s="20"/>
      <c r="R113" s="20"/>
      <c r="S113" s="20"/>
      <c r="T113" s="20"/>
      <c r="U113" s="20"/>
      <c r="V113" s="20"/>
      <c r="W113" s="20"/>
      <c r="X113" s="20"/>
      <c r="Y113" s="20"/>
      <c r="Z113" s="20"/>
      <c r="AA113" s="20"/>
      <c r="AB113" s="20"/>
    </row>
    <row r="114">
      <c r="A114" s="87"/>
      <c r="C114" s="99"/>
      <c r="D114" s="83"/>
      <c r="E114" s="87"/>
      <c r="F114" s="45"/>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c r="A115" s="87"/>
      <c r="C115" s="99"/>
      <c r="D115" s="83"/>
      <c r="E115" s="87"/>
      <c r="F115" s="45"/>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c r="A116" s="87"/>
      <c r="C116" s="99"/>
      <c r="D116" s="83"/>
      <c r="E116" s="87"/>
      <c r="F116" s="45"/>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c r="A117" s="87"/>
      <c r="B117" s="20"/>
      <c r="C117" s="80"/>
      <c r="D117" s="69"/>
      <c r="E117" s="87"/>
      <c r="F117" s="45"/>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c r="A118" s="70"/>
      <c r="B118" s="20"/>
      <c r="C118" s="80"/>
      <c r="D118" s="68"/>
      <c r="E118" s="93"/>
      <c r="F118" s="70"/>
      <c r="G118" s="22"/>
      <c r="H118" s="20"/>
      <c r="I118" s="20"/>
      <c r="J118" s="20"/>
      <c r="K118" s="20"/>
      <c r="L118" s="20"/>
      <c r="M118" s="20"/>
      <c r="N118" s="20"/>
      <c r="O118" s="20"/>
      <c r="P118" s="20"/>
      <c r="Q118" s="20"/>
      <c r="R118" s="20"/>
      <c r="S118" s="20"/>
      <c r="T118" s="20"/>
      <c r="U118" s="20"/>
      <c r="V118" s="20"/>
      <c r="W118" s="20"/>
      <c r="X118" s="20"/>
      <c r="Y118" s="20"/>
      <c r="Z118" s="20"/>
      <c r="AA118" s="20"/>
      <c r="AB118" s="20"/>
    </row>
    <row r="119">
      <c r="A119" s="87"/>
      <c r="B119" s="22"/>
      <c r="C119" s="25"/>
      <c r="D119" s="69"/>
      <c r="E119" s="87"/>
      <c r="F119" s="45"/>
      <c r="G119" s="22"/>
      <c r="H119" s="20"/>
      <c r="I119" s="20"/>
      <c r="J119" s="20"/>
      <c r="K119" s="20"/>
      <c r="L119" s="20"/>
      <c r="M119" s="20"/>
      <c r="N119" s="20"/>
      <c r="O119" s="20"/>
      <c r="P119" s="20"/>
      <c r="Q119" s="20"/>
      <c r="R119" s="20"/>
      <c r="S119" s="20"/>
      <c r="T119" s="20"/>
      <c r="U119" s="20"/>
      <c r="V119" s="20"/>
      <c r="W119" s="20"/>
      <c r="X119" s="20"/>
      <c r="Y119" s="20"/>
      <c r="Z119" s="20"/>
      <c r="AA119" s="20"/>
      <c r="AB119" s="20"/>
    </row>
    <row r="120">
      <c r="A120" s="87"/>
      <c r="B120" s="22"/>
      <c r="C120" s="25"/>
      <c r="D120" s="69"/>
      <c r="E120" s="87"/>
      <c r="F120" s="45"/>
      <c r="G120" s="22"/>
      <c r="H120" s="20"/>
      <c r="I120" s="20"/>
      <c r="J120" s="20"/>
      <c r="K120" s="20"/>
      <c r="L120" s="20"/>
      <c r="M120" s="20"/>
      <c r="N120" s="20"/>
      <c r="O120" s="20"/>
      <c r="P120" s="20"/>
      <c r="Q120" s="20"/>
      <c r="R120" s="20"/>
      <c r="S120" s="20"/>
      <c r="T120" s="20"/>
      <c r="U120" s="20"/>
      <c r="V120" s="20"/>
      <c r="W120" s="20"/>
      <c r="X120" s="20"/>
      <c r="Y120" s="20"/>
      <c r="Z120" s="20"/>
      <c r="AA120" s="20"/>
      <c r="AB120" s="20"/>
    </row>
    <row r="121">
      <c r="C121" s="99"/>
      <c r="F121" s="100"/>
    </row>
    <row r="122">
      <c r="C122" s="99"/>
      <c r="F122" s="100"/>
    </row>
    <row r="123">
      <c r="C123" s="99"/>
      <c r="F123" s="100"/>
    </row>
    <row r="124">
      <c r="C124" s="99"/>
      <c r="F124" s="100"/>
    </row>
    <row r="125">
      <c r="C125" s="99"/>
      <c r="F125" s="100"/>
    </row>
    <row r="126">
      <c r="C126" s="99"/>
      <c r="F126" s="100"/>
    </row>
    <row r="127">
      <c r="C127" s="99"/>
      <c r="F127" s="100"/>
    </row>
    <row r="128">
      <c r="C128" s="99"/>
      <c r="F128" s="100"/>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c r="C129" s="99"/>
      <c r="F129" s="100"/>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c r="C130" s="99"/>
      <c r="F130" s="100"/>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c r="C131" s="99"/>
      <c r="F131" s="100"/>
    </row>
    <row r="132">
      <c r="C132" s="99"/>
      <c r="F132" s="100"/>
    </row>
    <row r="133">
      <c r="C133" s="99"/>
      <c r="F133" s="100"/>
    </row>
    <row r="134">
      <c r="C134" s="99"/>
      <c r="F134" s="100"/>
    </row>
    <row r="135">
      <c r="C135" s="99"/>
      <c r="F135" s="100"/>
    </row>
    <row r="136">
      <c r="C136" s="99"/>
      <c r="F136" s="100"/>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c r="C137" s="99"/>
      <c r="F137" s="100"/>
    </row>
    <row r="138">
      <c r="C138" s="99"/>
      <c r="F138" s="100"/>
    </row>
    <row r="139">
      <c r="C139" s="99"/>
      <c r="F139" s="100"/>
    </row>
    <row r="140">
      <c r="C140" s="99"/>
      <c r="F140" s="100"/>
    </row>
    <row r="141">
      <c r="C141" s="99"/>
      <c r="F141" s="100"/>
    </row>
    <row r="142">
      <c r="C142" s="99"/>
      <c r="F142" s="100"/>
    </row>
    <row r="143">
      <c r="C143" s="99"/>
      <c r="F143" s="100"/>
    </row>
    <row r="144">
      <c r="C144" s="99"/>
      <c r="F144" s="100"/>
    </row>
    <row r="145">
      <c r="C145" s="99"/>
      <c r="F145" s="100"/>
    </row>
    <row r="146">
      <c r="C146" s="99"/>
      <c r="F146" s="100"/>
    </row>
    <row r="147">
      <c r="C147" s="99"/>
      <c r="F147" s="100"/>
    </row>
    <row r="148">
      <c r="C148" s="99"/>
      <c r="F148" s="100"/>
    </row>
    <row r="149">
      <c r="C149" s="99"/>
      <c r="F149" s="100"/>
    </row>
    <row r="150">
      <c r="C150" s="99"/>
      <c r="F150" s="100"/>
    </row>
    <row r="151">
      <c r="C151" s="99"/>
      <c r="F151" s="100"/>
    </row>
    <row r="152">
      <c r="C152" s="99"/>
      <c r="F152" s="100"/>
    </row>
    <row r="153">
      <c r="C153" s="99"/>
      <c r="F153" s="100"/>
    </row>
    <row r="154">
      <c r="C154" s="99"/>
      <c r="F154" s="100"/>
    </row>
    <row r="155">
      <c r="C155" s="99"/>
      <c r="F155" s="100"/>
    </row>
    <row r="156">
      <c r="C156" s="99"/>
      <c r="F156" s="100"/>
    </row>
    <row r="157">
      <c r="C157" s="99"/>
      <c r="F157" s="100"/>
    </row>
    <row r="158">
      <c r="C158" s="99"/>
      <c r="F158" s="100"/>
    </row>
    <row r="159">
      <c r="C159" s="99"/>
      <c r="F159" s="100"/>
    </row>
    <row r="160">
      <c r="C160" s="99"/>
      <c r="F160" s="100"/>
    </row>
    <row r="161">
      <c r="C161" s="99"/>
      <c r="F161" s="100"/>
    </row>
    <row r="162">
      <c r="C162" s="99"/>
      <c r="F162" s="100"/>
    </row>
    <row r="163">
      <c r="C163" s="99"/>
      <c r="F163" s="100"/>
    </row>
    <row r="164">
      <c r="C164" s="99"/>
      <c r="F164" s="100"/>
    </row>
    <row r="165">
      <c r="C165" s="99"/>
      <c r="F165" s="100"/>
    </row>
    <row r="166">
      <c r="C166" s="99"/>
      <c r="F166" s="100"/>
    </row>
    <row r="167">
      <c r="C167" s="99"/>
      <c r="F167" s="100"/>
    </row>
    <row r="168">
      <c r="C168" s="99"/>
      <c r="F168" s="100"/>
    </row>
    <row r="169">
      <c r="C169" s="99"/>
      <c r="F169" s="100"/>
    </row>
    <row r="170">
      <c r="C170" s="99"/>
      <c r="F170" s="100"/>
    </row>
    <row r="171">
      <c r="C171" s="99"/>
      <c r="F171" s="100"/>
    </row>
    <row r="172">
      <c r="C172" s="99"/>
      <c r="F172" s="100"/>
    </row>
    <row r="173">
      <c r="C173" s="99"/>
      <c r="F173" s="100"/>
    </row>
    <row r="174">
      <c r="C174" s="99"/>
      <c r="F174" s="100"/>
    </row>
    <row r="175">
      <c r="C175" s="99"/>
      <c r="F175" s="100"/>
    </row>
    <row r="176">
      <c r="C176" s="99"/>
      <c r="F176" s="100"/>
    </row>
    <row r="177">
      <c r="C177" s="99"/>
      <c r="F177" s="100"/>
    </row>
    <row r="178">
      <c r="C178" s="99"/>
      <c r="F178" s="100"/>
    </row>
    <row r="179">
      <c r="C179" s="99"/>
      <c r="F179" s="100"/>
    </row>
    <row r="180">
      <c r="C180" s="99"/>
      <c r="F180" s="100"/>
    </row>
    <row r="181">
      <c r="C181" s="99"/>
      <c r="F181" s="100"/>
    </row>
    <row r="182">
      <c r="C182" s="99"/>
      <c r="F182" s="100"/>
    </row>
    <row r="183">
      <c r="C183" s="99"/>
      <c r="F183" s="100"/>
    </row>
    <row r="184">
      <c r="C184" s="99"/>
      <c r="F184" s="100"/>
    </row>
    <row r="185">
      <c r="C185" s="99"/>
      <c r="F185" s="100"/>
    </row>
    <row r="186">
      <c r="C186" s="99"/>
      <c r="F186" s="100"/>
    </row>
    <row r="187">
      <c r="C187" s="99"/>
      <c r="F187" s="100"/>
    </row>
    <row r="188">
      <c r="C188" s="99"/>
      <c r="F188" s="100"/>
    </row>
    <row r="189">
      <c r="C189" s="99"/>
      <c r="F189" s="100"/>
    </row>
    <row r="190">
      <c r="C190" s="99"/>
      <c r="F190" s="100"/>
    </row>
    <row r="191">
      <c r="C191" s="99"/>
      <c r="F191" s="100"/>
    </row>
    <row r="192">
      <c r="C192" s="99"/>
      <c r="F192" s="100"/>
    </row>
    <row r="193">
      <c r="C193" s="99"/>
      <c r="F193" s="100"/>
    </row>
    <row r="194">
      <c r="C194" s="99"/>
      <c r="F194" s="100"/>
    </row>
    <row r="195">
      <c r="C195" s="99"/>
      <c r="F195" s="100"/>
    </row>
    <row r="196">
      <c r="C196" s="99"/>
      <c r="F196" s="100"/>
    </row>
    <row r="197">
      <c r="C197" s="99"/>
      <c r="F197" s="100"/>
    </row>
    <row r="198">
      <c r="C198" s="99"/>
      <c r="F198" s="100"/>
    </row>
    <row r="199">
      <c r="C199" s="99"/>
      <c r="F199" s="100"/>
    </row>
    <row r="200">
      <c r="C200" s="99"/>
      <c r="F200" s="100"/>
    </row>
    <row r="201">
      <c r="C201" s="99"/>
      <c r="F201" s="100"/>
    </row>
    <row r="202">
      <c r="C202" s="99"/>
      <c r="F202" s="100"/>
    </row>
    <row r="203">
      <c r="C203" s="99"/>
      <c r="F203" s="100"/>
    </row>
    <row r="204">
      <c r="C204" s="99"/>
      <c r="F204" s="100"/>
    </row>
    <row r="205">
      <c r="C205" s="99"/>
      <c r="F205" s="100"/>
    </row>
    <row r="206">
      <c r="C206" s="99"/>
      <c r="F206" s="100"/>
    </row>
    <row r="207">
      <c r="C207" s="99"/>
      <c r="F207" s="100"/>
    </row>
    <row r="208">
      <c r="C208" s="99"/>
      <c r="F208" s="100"/>
    </row>
    <row r="209">
      <c r="C209" s="99"/>
      <c r="F209" s="100"/>
    </row>
    <row r="210">
      <c r="C210" s="99"/>
      <c r="F210" s="100"/>
    </row>
    <row r="211">
      <c r="C211" s="99"/>
      <c r="F211" s="100"/>
    </row>
    <row r="212">
      <c r="C212" s="99"/>
      <c r="F212" s="100"/>
    </row>
    <row r="213">
      <c r="C213" s="99"/>
      <c r="F213" s="100"/>
    </row>
    <row r="214">
      <c r="C214" s="99"/>
      <c r="F214" s="100"/>
    </row>
    <row r="215">
      <c r="C215" s="99"/>
      <c r="F215" s="100"/>
    </row>
    <row r="216">
      <c r="C216" s="99"/>
      <c r="F216" s="100"/>
    </row>
    <row r="217">
      <c r="C217" s="99"/>
      <c r="F217" s="100"/>
    </row>
    <row r="218">
      <c r="C218" s="99"/>
      <c r="F218" s="100"/>
    </row>
    <row r="219">
      <c r="C219" s="99"/>
      <c r="F219" s="100"/>
    </row>
    <row r="220">
      <c r="C220" s="99"/>
      <c r="F220" s="100"/>
    </row>
    <row r="221">
      <c r="C221" s="99"/>
      <c r="F221" s="100"/>
    </row>
    <row r="222">
      <c r="C222" s="99"/>
      <c r="F222" s="100"/>
    </row>
    <row r="223">
      <c r="C223" s="99"/>
      <c r="F223" s="100"/>
    </row>
    <row r="224">
      <c r="C224" s="99"/>
      <c r="F224" s="100"/>
    </row>
    <row r="225">
      <c r="C225" s="99"/>
      <c r="F225" s="100"/>
    </row>
    <row r="226">
      <c r="C226" s="99"/>
      <c r="F226" s="100"/>
    </row>
    <row r="227">
      <c r="C227" s="99"/>
      <c r="F227" s="100"/>
    </row>
    <row r="228">
      <c r="C228" s="99"/>
      <c r="F228" s="100"/>
    </row>
    <row r="229">
      <c r="C229" s="99"/>
      <c r="F229" s="100"/>
    </row>
    <row r="230">
      <c r="C230" s="99"/>
      <c r="F230" s="100"/>
    </row>
    <row r="231">
      <c r="C231" s="99"/>
      <c r="F231" s="100"/>
    </row>
    <row r="232">
      <c r="C232" s="99"/>
      <c r="F232" s="100"/>
    </row>
    <row r="233">
      <c r="C233" s="99"/>
      <c r="F233" s="100"/>
    </row>
    <row r="234">
      <c r="C234" s="99"/>
      <c r="F234" s="100"/>
    </row>
    <row r="235">
      <c r="C235" s="99"/>
      <c r="F235" s="100"/>
    </row>
    <row r="236">
      <c r="C236" s="99"/>
      <c r="F236" s="100"/>
    </row>
    <row r="237">
      <c r="C237" s="99"/>
      <c r="F237" s="100"/>
    </row>
    <row r="238">
      <c r="C238" s="99"/>
      <c r="F238" s="100"/>
    </row>
    <row r="239">
      <c r="C239" s="99"/>
      <c r="F239" s="100"/>
    </row>
    <row r="240">
      <c r="C240" s="99"/>
      <c r="F240" s="100"/>
    </row>
    <row r="241">
      <c r="C241" s="99"/>
      <c r="F241" s="100"/>
    </row>
    <row r="242">
      <c r="C242" s="99"/>
      <c r="F242" s="100"/>
    </row>
    <row r="243">
      <c r="C243" s="99"/>
      <c r="F243" s="100"/>
    </row>
    <row r="244">
      <c r="C244" s="99"/>
      <c r="F244" s="100"/>
    </row>
    <row r="245">
      <c r="C245" s="99"/>
      <c r="F245" s="100"/>
    </row>
    <row r="246">
      <c r="C246" s="99"/>
      <c r="F246" s="100"/>
    </row>
    <row r="247">
      <c r="C247" s="99"/>
      <c r="F247" s="100"/>
    </row>
    <row r="248">
      <c r="C248" s="99"/>
      <c r="F248" s="100"/>
    </row>
    <row r="249">
      <c r="C249" s="99"/>
      <c r="F249" s="100"/>
    </row>
    <row r="250">
      <c r="C250" s="99"/>
      <c r="F250" s="100"/>
    </row>
    <row r="251">
      <c r="C251" s="99"/>
      <c r="F251" s="100"/>
    </row>
    <row r="252">
      <c r="C252" s="99"/>
      <c r="F252" s="100"/>
    </row>
    <row r="253">
      <c r="C253" s="99"/>
      <c r="F253" s="100"/>
    </row>
    <row r="254">
      <c r="C254" s="99"/>
      <c r="F254" s="100"/>
    </row>
    <row r="255">
      <c r="C255" s="99"/>
      <c r="F255" s="100"/>
    </row>
    <row r="256">
      <c r="C256" s="99"/>
      <c r="F256" s="100"/>
    </row>
    <row r="257">
      <c r="C257" s="99"/>
      <c r="F257" s="100"/>
    </row>
    <row r="258">
      <c r="C258" s="99"/>
      <c r="F258" s="100"/>
    </row>
    <row r="259">
      <c r="C259" s="99"/>
      <c r="F259" s="100"/>
    </row>
    <row r="260">
      <c r="C260" s="99"/>
      <c r="F260" s="100"/>
    </row>
    <row r="261">
      <c r="C261" s="99"/>
      <c r="F261" s="100"/>
    </row>
    <row r="262">
      <c r="C262" s="99"/>
      <c r="F262" s="100"/>
    </row>
    <row r="263">
      <c r="C263" s="99"/>
      <c r="F263" s="100"/>
    </row>
    <row r="264">
      <c r="C264" s="99"/>
      <c r="F264" s="100"/>
    </row>
    <row r="265">
      <c r="C265" s="99"/>
      <c r="F265" s="100"/>
    </row>
    <row r="266">
      <c r="C266" s="99"/>
      <c r="F266" s="100"/>
    </row>
    <row r="267">
      <c r="C267" s="99"/>
      <c r="F267" s="100"/>
    </row>
    <row r="268">
      <c r="C268" s="99"/>
      <c r="F268" s="100"/>
    </row>
    <row r="269">
      <c r="C269" s="99"/>
      <c r="F269" s="100"/>
    </row>
    <row r="270">
      <c r="C270" s="99"/>
      <c r="F270" s="100"/>
    </row>
    <row r="271">
      <c r="C271" s="99"/>
      <c r="F271" s="100"/>
    </row>
    <row r="272">
      <c r="C272" s="99"/>
      <c r="F272" s="100"/>
    </row>
    <row r="273">
      <c r="C273" s="99"/>
      <c r="F273" s="100"/>
    </row>
    <row r="274">
      <c r="C274" s="99"/>
      <c r="F274" s="100"/>
    </row>
    <row r="275">
      <c r="C275" s="99"/>
      <c r="F275" s="100"/>
    </row>
    <row r="276">
      <c r="C276" s="99"/>
      <c r="F276" s="100"/>
    </row>
    <row r="277">
      <c r="C277" s="99"/>
      <c r="F277" s="100"/>
    </row>
    <row r="278">
      <c r="C278" s="99"/>
      <c r="F278" s="100"/>
    </row>
    <row r="279">
      <c r="C279" s="99"/>
      <c r="F279" s="100"/>
    </row>
    <row r="280">
      <c r="C280" s="99"/>
      <c r="F280" s="100"/>
    </row>
    <row r="281">
      <c r="C281" s="99"/>
      <c r="F281" s="100"/>
    </row>
    <row r="282">
      <c r="C282" s="99"/>
      <c r="F282" s="100"/>
    </row>
    <row r="283">
      <c r="C283" s="99"/>
      <c r="F283" s="100"/>
    </row>
    <row r="284">
      <c r="C284" s="99"/>
      <c r="F284" s="100"/>
    </row>
    <row r="285">
      <c r="C285" s="99"/>
      <c r="F285" s="100"/>
    </row>
    <row r="286">
      <c r="C286" s="99"/>
      <c r="F286" s="100"/>
    </row>
    <row r="287">
      <c r="C287" s="99"/>
      <c r="F287" s="100"/>
    </row>
    <row r="288">
      <c r="C288" s="99"/>
      <c r="F288" s="100"/>
    </row>
    <row r="289">
      <c r="C289" s="99"/>
      <c r="F289" s="100"/>
    </row>
    <row r="290">
      <c r="C290" s="99"/>
      <c r="F290" s="100"/>
    </row>
    <row r="291">
      <c r="C291" s="99"/>
      <c r="F291" s="100"/>
    </row>
    <row r="292">
      <c r="C292" s="99"/>
      <c r="F292" s="100"/>
    </row>
    <row r="293">
      <c r="C293" s="99"/>
      <c r="F293" s="100"/>
    </row>
    <row r="294">
      <c r="C294" s="99"/>
      <c r="F294" s="100"/>
    </row>
    <row r="295">
      <c r="C295" s="99"/>
      <c r="F295" s="100"/>
    </row>
    <row r="296">
      <c r="C296" s="99"/>
      <c r="F296" s="100"/>
    </row>
    <row r="297">
      <c r="C297" s="99"/>
      <c r="F297" s="100"/>
    </row>
    <row r="298">
      <c r="C298" s="99"/>
      <c r="F298" s="100"/>
    </row>
    <row r="299">
      <c r="C299" s="99"/>
      <c r="F299" s="100"/>
    </row>
    <row r="300">
      <c r="C300" s="99"/>
      <c r="F300" s="100"/>
    </row>
    <row r="301">
      <c r="C301" s="99"/>
      <c r="F301" s="100"/>
    </row>
    <row r="302">
      <c r="C302" s="99"/>
      <c r="F302" s="100"/>
    </row>
    <row r="303">
      <c r="C303" s="99"/>
      <c r="F303" s="100"/>
    </row>
    <row r="304">
      <c r="C304" s="99"/>
      <c r="F304" s="100"/>
    </row>
    <row r="305">
      <c r="C305" s="99"/>
      <c r="F305" s="100"/>
    </row>
    <row r="306">
      <c r="C306" s="99"/>
      <c r="F306" s="100"/>
    </row>
    <row r="307">
      <c r="C307" s="99"/>
      <c r="F307" s="100"/>
    </row>
    <row r="308">
      <c r="C308" s="99"/>
      <c r="F308" s="100"/>
    </row>
    <row r="309">
      <c r="C309" s="99"/>
      <c r="F309" s="100"/>
    </row>
    <row r="310">
      <c r="C310" s="99"/>
      <c r="F310" s="100"/>
    </row>
    <row r="311">
      <c r="C311" s="99"/>
      <c r="F311" s="100"/>
    </row>
    <row r="312">
      <c r="C312" s="99"/>
      <c r="F312" s="100"/>
    </row>
    <row r="313">
      <c r="C313" s="99"/>
      <c r="F313" s="100"/>
    </row>
    <row r="314">
      <c r="C314" s="99"/>
      <c r="F314" s="100"/>
    </row>
    <row r="315">
      <c r="C315" s="99"/>
      <c r="F315" s="100"/>
    </row>
    <row r="316">
      <c r="C316" s="99"/>
      <c r="F316" s="100"/>
    </row>
    <row r="317">
      <c r="C317" s="99"/>
      <c r="F317" s="100"/>
    </row>
    <row r="318">
      <c r="C318" s="99"/>
      <c r="F318" s="100"/>
    </row>
    <row r="319">
      <c r="C319" s="99"/>
      <c r="F319" s="100"/>
    </row>
    <row r="320">
      <c r="C320" s="99"/>
      <c r="F320" s="100"/>
    </row>
    <row r="321">
      <c r="C321" s="99"/>
      <c r="F321" s="100"/>
    </row>
    <row r="322">
      <c r="C322" s="99"/>
      <c r="F322" s="100"/>
    </row>
    <row r="323">
      <c r="C323" s="99"/>
      <c r="F323" s="100"/>
    </row>
    <row r="324">
      <c r="C324" s="99"/>
      <c r="F324" s="100"/>
    </row>
    <row r="325">
      <c r="C325" s="99"/>
      <c r="F325" s="100"/>
    </row>
    <row r="326">
      <c r="C326" s="99"/>
      <c r="F326" s="100"/>
    </row>
    <row r="327">
      <c r="C327" s="99"/>
      <c r="F327" s="100"/>
    </row>
    <row r="328">
      <c r="C328" s="99"/>
      <c r="F328" s="100"/>
    </row>
    <row r="329">
      <c r="C329" s="99"/>
      <c r="F329" s="100"/>
    </row>
    <row r="330">
      <c r="C330" s="99"/>
      <c r="F330" s="100"/>
    </row>
    <row r="331">
      <c r="C331" s="99"/>
      <c r="F331" s="100"/>
    </row>
    <row r="332">
      <c r="C332" s="99"/>
      <c r="F332" s="100"/>
    </row>
    <row r="333">
      <c r="C333" s="99"/>
      <c r="F333" s="100"/>
    </row>
    <row r="334">
      <c r="C334" s="99"/>
      <c r="F334" s="100"/>
    </row>
    <row r="335">
      <c r="C335" s="99"/>
      <c r="F335" s="100"/>
    </row>
    <row r="336">
      <c r="C336" s="99"/>
      <c r="F336" s="100"/>
    </row>
    <row r="337">
      <c r="C337" s="99"/>
      <c r="F337" s="100"/>
    </row>
    <row r="338">
      <c r="C338" s="99"/>
      <c r="F338" s="100"/>
    </row>
    <row r="339">
      <c r="C339" s="99"/>
      <c r="F339" s="100"/>
    </row>
    <row r="340">
      <c r="C340" s="99"/>
      <c r="F340" s="100"/>
    </row>
    <row r="341">
      <c r="C341" s="99"/>
      <c r="F341" s="100"/>
    </row>
    <row r="342">
      <c r="C342" s="99"/>
      <c r="F342" s="100"/>
    </row>
    <row r="343">
      <c r="C343" s="99"/>
      <c r="F343" s="100"/>
    </row>
    <row r="344">
      <c r="C344" s="99"/>
      <c r="F344" s="100"/>
    </row>
    <row r="345">
      <c r="C345" s="99"/>
      <c r="F345" s="100"/>
    </row>
    <row r="346">
      <c r="C346" s="99"/>
      <c r="F346" s="100"/>
    </row>
    <row r="347">
      <c r="C347" s="99"/>
      <c r="F347" s="100"/>
    </row>
    <row r="348">
      <c r="C348" s="99"/>
      <c r="F348" s="100"/>
    </row>
    <row r="349">
      <c r="C349" s="99"/>
      <c r="F349" s="100"/>
    </row>
    <row r="350">
      <c r="C350" s="99"/>
      <c r="F350" s="100"/>
    </row>
    <row r="351">
      <c r="C351" s="99"/>
      <c r="F351" s="100"/>
    </row>
    <row r="352">
      <c r="C352" s="99"/>
      <c r="F352" s="100"/>
    </row>
    <row r="353">
      <c r="C353" s="99"/>
      <c r="F353" s="100"/>
    </row>
    <row r="354">
      <c r="C354" s="99"/>
      <c r="F354" s="100"/>
    </row>
    <row r="355">
      <c r="C355" s="99"/>
      <c r="F355" s="100"/>
    </row>
    <row r="356">
      <c r="C356" s="99"/>
      <c r="F356" s="100"/>
    </row>
    <row r="357">
      <c r="C357" s="99"/>
      <c r="F357" s="100"/>
    </row>
    <row r="358">
      <c r="C358" s="99"/>
      <c r="F358" s="100"/>
    </row>
    <row r="359">
      <c r="C359" s="99"/>
      <c r="F359" s="100"/>
    </row>
    <row r="360">
      <c r="C360" s="99"/>
      <c r="F360" s="100"/>
    </row>
    <row r="361">
      <c r="C361" s="99"/>
      <c r="F361" s="100"/>
    </row>
    <row r="362">
      <c r="C362" s="99"/>
      <c r="F362" s="100"/>
    </row>
    <row r="363">
      <c r="C363" s="99"/>
      <c r="F363" s="100"/>
    </row>
    <row r="364">
      <c r="C364" s="99"/>
      <c r="F364" s="100"/>
    </row>
    <row r="365">
      <c r="C365" s="99"/>
      <c r="F365" s="100"/>
    </row>
    <row r="366">
      <c r="C366" s="99"/>
      <c r="F366" s="100"/>
    </row>
    <row r="367">
      <c r="C367" s="99"/>
      <c r="F367" s="100"/>
    </row>
    <row r="368">
      <c r="C368" s="99"/>
      <c r="F368" s="100"/>
    </row>
    <row r="369">
      <c r="C369" s="99"/>
      <c r="F369" s="100"/>
    </row>
    <row r="370">
      <c r="C370" s="99"/>
      <c r="F370" s="100"/>
    </row>
    <row r="371">
      <c r="C371" s="99"/>
      <c r="F371" s="100"/>
    </row>
    <row r="372">
      <c r="C372" s="99"/>
      <c r="F372" s="100"/>
    </row>
    <row r="373">
      <c r="C373" s="99"/>
      <c r="F373" s="100"/>
    </row>
    <row r="374">
      <c r="C374" s="99"/>
      <c r="F374" s="100"/>
    </row>
    <row r="375">
      <c r="C375" s="99"/>
      <c r="F375" s="100"/>
    </row>
    <row r="376">
      <c r="C376" s="99"/>
      <c r="F376" s="100"/>
    </row>
    <row r="377">
      <c r="C377" s="99"/>
      <c r="F377" s="100"/>
    </row>
    <row r="378">
      <c r="C378" s="99"/>
      <c r="F378" s="100"/>
    </row>
    <row r="379">
      <c r="C379" s="99"/>
      <c r="F379" s="100"/>
    </row>
    <row r="380">
      <c r="C380" s="99"/>
      <c r="F380" s="100"/>
    </row>
    <row r="381">
      <c r="C381" s="99"/>
      <c r="F381" s="100"/>
    </row>
    <row r="382">
      <c r="C382" s="99"/>
      <c r="F382" s="100"/>
    </row>
    <row r="383">
      <c r="C383" s="99"/>
      <c r="F383" s="100"/>
    </row>
    <row r="384">
      <c r="C384" s="99"/>
      <c r="F384" s="100"/>
    </row>
    <row r="385">
      <c r="C385" s="99"/>
      <c r="F385" s="100"/>
    </row>
    <row r="386">
      <c r="C386" s="99"/>
      <c r="F386" s="100"/>
    </row>
    <row r="387">
      <c r="C387" s="99"/>
      <c r="F387" s="100"/>
    </row>
    <row r="388">
      <c r="C388" s="99"/>
      <c r="F388" s="100"/>
    </row>
    <row r="389">
      <c r="C389" s="99"/>
      <c r="F389" s="100"/>
    </row>
    <row r="390">
      <c r="C390" s="99"/>
      <c r="F390" s="100"/>
    </row>
    <row r="391">
      <c r="C391" s="99"/>
      <c r="F391" s="100"/>
    </row>
    <row r="392">
      <c r="C392" s="99"/>
      <c r="F392" s="100"/>
    </row>
    <row r="393">
      <c r="C393" s="99"/>
      <c r="F393" s="100"/>
    </row>
    <row r="394">
      <c r="C394" s="99"/>
      <c r="F394" s="100"/>
    </row>
    <row r="395">
      <c r="C395" s="99"/>
      <c r="F395" s="100"/>
    </row>
    <row r="396">
      <c r="C396" s="99"/>
      <c r="F396" s="100"/>
    </row>
    <row r="397">
      <c r="C397" s="99"/>
      <c r="F397" s="100"/>
    </row>
    <row r="398">
      <c r="C398" s="99"/>
      <c r="F398" s="100"/>
    </row>
    <row r="399">
      <c r="C399" s="99"/>
      <c r="F399" s="100"/>
    </row>
    <row r="400">
      <c r="C400" s="99"/>
      <c r="F400" s="100"/>
    </row>
    <row r="401">
      <c r="C401" s="99"/>
      <c r="F401" s="100"/>
    </row>
    <row r="402">
      <c r="C402" s="99"/>
      <c r="F402" s="100"/>
    </row>
    <row r="403">
      <c r="C403" s="99"/>
      <c r="F403" s="100"/>
    </row>
    <row r="404">
      <c r="C404" s="99"/>
      <c r="F404" s="100"/>
    </row>
    <row r="405">
      <c r="C405" s="99"/>
      <c r="F405" s="100"/>
    </row>
    <row r="406">
      <c r="C406" s="99"/>
      <c r="F406" s="100"/>
    </row>
    <row r="407">
      <c r="C407" s="99"/>
      <c r="F407" s="100"/>
    </row>
    <row r="408">
      <c r="C408" s="99"/>
      <c r="F408" s="100"/>
    </row>
    <row r="409">
      <c r="C409" s="99"/>
      <c r="F409" s="100"/>
    </row>
    <row r="410">
      <c r="C410" s="99"/>
      <c r="F410" s="100"/>
    </row>
    <row r="411">
      <c r="C411" s="99"/>
      <c r="F411" s="100"/>
    </row>
    <row r="412">
      <c r="C412" s="99"/>
      <c r="F412" s="100"/>
    </row>
    <row r="413">
      <c r="C413" s="99"/>
      <c r="F413" s="100"/>
    </row>
    <row r="414">
      <c r="C414" s="99"/>
      <c r="F414" s="100"/>
    </row>
    <row r="415">
      <c r="C415" s="99"/>
      <c r="F415" s="100"/>
    </row>
    <row r="416">
      <c r="C416" s="99"/>
      <c r="F416" s="100"/>
    </row>
    <row r="417">
      <c r="C417" s="99"/>
      <c r="F417" s="100"/>
    </row>
    <row r="418">
      <c r="C418" s="99"/>
      <c r="F418" s="100"/>
    </row>
    <row r="419">
      <c r="C419" s="99"/>
      <c r="F419" s="100"/>
    </row>
    <row r="420">
      <c r="C420" s="99"/>
      <c r="F420" s="100"/>
    </row>
    <row r="421">
      <c r="C421" s="99"/>
      <c r="F421" s="100"/>
    </row>
    <row r="422">
      <c r="C422" s="99"/>
      <c r="F422" s="100"/>
    </row>
    <row r="423">
      <c r="C423" s="99"/>
      <c r="F423" s="100"/>
    </row>
    <row r="424">
      <c r="C424" s="99"/>
      <c r="F424" s="100"/>
    </row>
    <row r="425">
      <c r="C425" s="99"/>
      <c r="F425" s="100"/>
    </row>
    <row r="426">
      <c r="C426" s="99"/>
      <c r="F426" s="100"/>
    </row>
    <row r="427">
      <c r="C427" s="99"/>
      <c r="F427" s="100"/>
    </row>
    <row r="428">
      <c r="C428" s="99"/>
      <c r="F428" s="100"/>
    </row>
    <row r="429">
      <c r="C429" s="99"/>
      <c r="F429" s="100"/>
    </row>
    <row r="430">
      <c r="C430" s="99"/>
      <c r="F430" s="100"/>
    </row>
    <row r="431">
      <c r="C431" s="99"/>
      <c r="F431" s="100"/>
    </row>
    <row r="432">
      <c r="C432" s="99"/>
      <c r="F432" s="100"/>
    </row>
    <row r="433">
      <c r="C433" s="99"/>
      <c r="F433" s="100"/>
    </row>
    <row r="434">
      <c r="C434" s="99"/>
      <c r="F434" s="100"/>
    </row>
    <row r="435">
      <c r="C435" s="99"/>
      <c r="F435" s="100"/>
    </row>
    <row r="436">
      <c r="C436" s="99"/>
      <c r="F436" s="100"/>
    </row>
    <row r="437">
      <c r="C437" s="99"/>
      <c r="F437" s="100"/>
    </row>
    <row r="438">
      <c r="C438" s="99"/>
      <c r="F438" s="100"/>
    </row>
    <row r="439">
      <c r="C439" s="99"/>
      <c r="F439" s="100"/>
    </row>
    <row r="440">
      <c r="C440" s="99"/>
      <c r="F440" s="100"/>
    </row>
    <row r="441">
      <c r="C441" s="99"/>
      <c r="F441" s="100"/>
    </row>
    <row r="442">
      <c r="C442" s="99"/>
      <c r="F442" s="100"/>
    </row>
    <row r="443">
      <c r="C443" s="99"/>
      <c r="F443" s="100"/>
    </row>
    <row r="444">
      <c r="C444" s="99"/>
      <c r="F444" s="100"/>
    </row>
    <row r="445">
      <c r="C445" s="99"/>
      <c r="F445" s="100"/>
    </row>
    <row r="446">
      <c r="C446" s="99"/>
      <c r="F446" s="100"/>
    </row>
    <row r="447">
      <c r="C447" s="99"/>
      <c r="F447" s="100"/>
    </row>
    <row r="448">
      <c r="C448" s="99"/>
      <c r="F448" s="100"/>
    </row>
    <row r="449">
      <c r="C449" s="99"/>
      <c r="F449" s="100"/>
    </row>
    <row r="450">
      <c r="C450" s="99"/>
      <c r="F450" s="100"/>
    </row>
    <row r="451">
      <c r="C451" s="99"/>
      <c r="F451" s="100"/>
    </row>
    <row r="452">
      <c r="C452" s="99"/>
      <c r="F452" s="100"/>
    </row>
    <row r="453">
      <c r="C453" s="99"/>
      <c r="F453" s="100"/>
    </row>
    <row r="454">
      <c r="C454" s="99"/>
      <c r="F454" s="100"/>
    </row>
    <row r="455">
      <c r="C455" s="99"/>
      <c r="F455" s="100"/>
    </row>
    <row r="456">
      <c r="C456" s="99"/>
      <c r="F456" s="100"/>
    </row>
    <row r="457">
      <c r="C457" s="99"/>
      <c r="F457" s="100"/>
    </row>
    <row r="458">
      <c r="C458" s="99"/>
      <c r="F458" s="100"/>
    </row>
    <row r="459">
      <c r="C459" s="99"/>
      <c r="F459" s="100"/>
    </row>
    <row r="460">
      <c r="C460" s="99"/>
      <c r="F460" s="100"/>
    </row>
    <row r="461">
      <c r="C461" s="99"/>
      <c r="F461" s="100"/>
    </row>
    <row r="462">
      <c r="C462" s="99"/>
      <c r="F462" s="100"/>
    </row>
    <row r="463">
      <c r="C463" s="99"/>
      <c r="F463" s="100"/>
    </row>
    <row r="464">
      <c r="C464" s="99"/>
      <c r="F464" s="100"/>
    </row>
    <row r="465">
      <c r="C465" s="99"/>
      <c r="F465" s="100"/>
    </row>
    <row r="466">
      <c r="C466" s="99"/>
      <c r="F466" s="100"/>
    </row>
    <row r="467">
      <c r="C467" s="99"/>
      <c r="F467" s="100"/>
    </row>
    <row r="468">
      <c r="C468" s="99"/>
      <c r="F468" s="100"/>
    </row>
    <row r="469">
      <c r="C469" s="99"/>
      <c r="F469" s="100"/>
    </row>
    <row r="470">
      <c r="C470" s="99"/>
      <c r="F470" s="100"/>
    </row>
    <row r="471">
      <c r="C471" s="99"/>
      <c r="F471" s="100"/>
    </row>
    <row r="472">
      <c r="C472" s="99"/>
      <c r="F472" s="100"/>
    </row>
    <row r="473">
      <c r="C473" s="99"/>
      <c r="F473" s="100"/>
    </row>
    <row r="474">
      <c r="C474" s="99"/>
      <c r="F474" s="100"/>
    </row>
    <row r="475">
      <c r="C475" s="99"/>
      <c r="F475" s="100"/>
    </row>
    <row r="476">
      <c r="C476" s="99"/>
      <c r="F476" s="100"/>
    </row>
    <row r="477">
      <c r="C477" s="99"/>
      <c r="F477" s="100"/>
    </row>
    <row r="478">
      <c r="C478" s="99"/>
      <c r="F478" s="100"/>
    </row>
    <row r="479">
      <c r="C479" s="99"/>
      <c r="F479" s="100"/>
    </row>
    <row r="480">
      <c r="C480" s="99"/>
      <c r="F480" s="100"/>
    </row>
    <row r="481">
      <c r="C481" s="99"/>
      <c r="F481" s="100"/>
    </row>
    <row r="482">
      <c r="C482" s="99"/>
      <c r="F482" s="100"/>
    </row>
    <row r="483">
      <c r="C483" s="99"/>
      <c r="F483" s="100"/>
    </row>
    <row r="484">
      <c r="C484" s="99"/>
      <c r="F484" s="100"/>
    </row>
    <row r="485">
      <c r="C485" s="99"/>
      <c r="F485" s="100"/>
    </row>
    <row r="486">
      <c r="C486" s="99"/>
      <c r="F486" s="100"/>
    </row>
    <row r="487">
      <c r="C487" s="99"/>
      <c r="F487" s="100"/>
    </row>
    <row r="488">
      <c r="C488" s="99"/>
      <c r="F488" s="100"/>
    </row>
    <row r="489">
      <c r="C489" s="99"/>
      <c r="F489" s="100"/>
    </row>
    <row r="490">
      <c r="C490" s="99"/>
      <c r="F490" s="100"/>
    </row>
    <row r="491">
      <c r="C491" s="99"/>
      <c r="F491" s="100"/>
    </row>
    <row r="492">
      <c r="C492" s="99"/>
      <c r="F492" s="100"/>
    </row>
    <row r="493">
      <c r="C493" s="99"/>
      <c r="F493" s="100"/>
    </row>
    <row r="494">
      <c r="C494" s="99"/>
      <c r="F494" s="100"/>
    </row>
    <row r="495">
      <c r="C495" s="99"/>
      <c r="F495" s="100"/>
    </row>
    <row r="496">
      <c r="C496" s="99"/>
      <c r="F496" s="100"/>
    </row>
    <row r="497">
      <c r="C497" s="99"/>
      <c r="F497" s="100"/>
    </row>
    <row r="498">
      <c r="C498" s="99"/>
      <c r="F498" s="100"/>
    </row>
    <row r="499">
      <c r="C499" s="99"/>
      <c r="F499" s="100"/>
    </row>
    <row r="500">
      <c r="C500" s="99"/>
      <c r="F500" s="100"/>
    </row>
    <row r="501">
      <c r="C501" s="99"/>
      <c r="F501" s="100"/>
    </row>
    <row r="502">
      <c r="C502" s="99"/>
      <c r="F502" s="100"/>
    </row>
    <row r="503">
      <c r="C503" s="99"/>
      <c r="F503" s="100"/>
    </row>
    <row r="504">
      <c r="C504" s="99"/>
      <c r="F504" s="100"/>
    </row>
    <row r="505">
      <c r="C505" s="99"/>
      <c r="F505" s="100"/>
    </row>
    <row r="506">
      <c r="C506" s="99"/>
      <c r="F506" s="100"/>
    </row>
    <row r="507">
      <c r="C507" s="99"/>
      <c r="F507" s="100"/>
    </row>
    <row r="508">
      <c r="C508" s="99"/>
      <c r="F508" s="100"/>
    </row>
    <row r="509">
      <c r="C509" s="99"/>
      <c r="F509" s="100"/>
    </row>
    <row r="510">
      <c r="C510" s="99"/>
      <c r="F510" s="100"/>
    </row>
    <row r="511">
      <c r="C511" s="99"/>
      <c r="F511" s="100"/>
    </row>
    <row r="512">
      <c r="C512" s="99"/>
      <c r="F512" s="100"/>
    </row>
    <row r="513">
      <c r="C513" s="99"/>
      <c r="F513" s="100"/>
    </row>
    <row r="514">
      <c r="C514" s="99"/>
      <c r="F514" s="100"/>
    </row>
    <row r="515">
      <c r="C515" s="99"/>
      <c r="F515" s="100"/>
    </row>
    <row r="516">
      <c r="C516" s="99"/>
      <c r="F516" s="100"/>
    </row>
    <row r="517">
      <c r="C517" s="99"/>
      <c r="F517" s="100"/>
    </row>
    <row r="518">
      <c r="C518" s="99"/>
      <c r="F518" s="100"/>
    </row>
    <row r="519">
      <c r="C519" s="99"/>
      <c r="F519" s="100"/>
    </row>
    <row r="520">
      <c r="C520" s="99"/>
      <c r="F520" s="100"/>
    </row>
    <row r="521">
      <c r="C521" s="99"/>
      <c r="F521" s="100"/>
    </row>
    <row r="522">
      <c r="C522" s="99"/>
      <c r="F522" s="100"/>
    </row>
    <row r="523">
      <c r="C523" s="99"/>
      <c r="F523" s="100"/>
    </row>
    <row r="524">
      <c r="C524" s="99"/>
      <c r="F524" s="100"/>
    </row>
    <row r="525">
      <c r="C525" s="99"/>
      <c r="F525" s="100"/>
    </row>
    <row r="526">
      <c r="C526" s="99"/>
      <c r="F526" s="100"/>
    </row>
    <row r="527">
      <c r="C527" s="99"/>
      <c r="F527" s="100"/>
    </row>
    <row r="528">
      <c r="C528" s="99"/>
      <c r="F528" s="100"/>
    </row>
    <row r="529">
      <c r="C529" s="99"/>
      <c r="F529" s="100"/>
    </row>
    <row r="530">
      <c r="C530" s="99"/>
      <c r="F530" s="100"/>
    </row>
    <row r="531">
      <c r="C531" s="99"/>
      <c r="F531" s="100"/>
    </row>
    <row r="532">
      <c r="C532" s="99"/>
      <c r="F532" s="100"/>
    </row>
    <row r="533">
      <c r="C533" s="99"/>
      <c r="F533" s="100"/>
    </row>
    <row r="534">
      <c r="C534" s="99"/>
      <c r="F534" s="100"/>
    </row>
    <row r="535">
      <c r="C535" s="99"/>
      <c r="F535" s="100"/>
    </row>
    <row r="536">
      <c r="C536" s="99"/>
      <c r="F536" s="100"/>
    </row>
    <row r="537">
      <c r="C537" s="99"/>
      <c r="F537" s="100"/>
    </row>
    <row r="538">
      <c r="C538" s="99"/>
      <c r="F538" s="100"/>
    </row>
    <row r="539">
      <c r="C539" s="99"/>
      <c r="F539" s="100"/>
    </row>
    <row r="540">
      <c r="C540" s="99"/>
      <c r="F540" s="100"/>
    </row>
    <row r="541">
      <c r="C541" s="99"/>
      <c r="F541" s="100"/>
    </row>
    <row r="542">
      <c r="C542" s="99"/>
      <c r="F542" s="100"/>
    </row>
    <row r="543">
      <c r="C543" s="99"/>
      <c r="F543" s="100"/>
    </row>
    <row r="544">
      <c r="C544" s="99"/>
      <c r="F544" s="100"/>
    </row>
    <row r="545">
      <c r="C545" s="99"/>
      <c r="F545" s="100"/>
    </row>
    <row r="546">
      <c r="C546" s="99"/>
      <c r="F546" s="100"/>
    </row>
    <row r="547">
      <c r="C547" s="99"/>
      <c r="F547" s="100"/>
    </row>
    <row r="548">
      <c r="C548" s="99"/>
      <c r="F548" s="100"/>
    </row>
    <row r="549">
      <c r="C549" s="99"/>
      <c r="F549" s="100"/>
    </row>
    <row r="550">
      <c r="C550" s="99"/>
      <c r="F550" s="100"/>
    </row>
    <row r="551">
      <c r="C551" s="99"/>
      <c r="F551" s="100"/>
    </row>
    <row r="552">
      <c r="C552" s="99"/>
      <c r="F552" s="100"/>
    </row>
    <row r="553">
      <c r="C553" s="99"/>
      <c r="F553" s="100"/>
    </row>
    <row r="554">
      <c r="C554" s="99"/>
      <c r="F554" s="100"/>
    </row>
    <row r="555">
      <c r="C555" s="99"/>
      <c r="F555" s="100"/>
    </row>
    <row r="556">
      <c r="C556" s="99"/>
      <c r="F556" s="100"/>
    </row>
    <row r="557">
      <c r="C557" s="99"/>
      <c r="F557" s="100"/>
    </row>
    <row r="558">
      <c r="C558" s="99"/>
      <c r="F558" s="100"/>
    </row>
    <row r="559">
      <c r="C559" s="99"/>
      <c r="F559" s="100"/>
    </row>
    <row r="560">
      <c r="C560" s="99"/>
      <c r="F560" s="100"/>
    </row>
    <row r="561">
      <c r="C561" s="99"/>
      <c r="F561" s="100"/>
    </row>
    <row r="562">
      <c r="C562" s="99"/>
      <c r="F562" s="100"/>
    </row>
    <row r="563">
      <c r="C563" s="99"/>
      <c r="F563" s="100"/>
    </row>
    <row r="564">
      <c r="C564" s="99"/>
      <c r="F564" s="100"/>
    </row>
    <row r="565">
      <c r="C565" s="99"/>
      <c r="F565" s="100"/>
    </row>
    <row r="566">
      <c r="C566" s="99"/>
      <c r="F566" s="100"/>
    </row>
    <row r="567">
      <c r="C567" s="99"/>
      <c r="F567" s="100"/>
    </row>
    <row r="568">
      <c r="C568" s="99"/>
      <c r="F568" s="100"/>
    </row>
    <row r="569">
      <c r="C569" s="99"/>
      <c r="F569" s="100"/>
    </row>
    <row r="570">
      <c r="C570" s="99"/>
      <c r="F570" s="100"/>
    </row>
    <row r="571">
      <c r="C571" s="99"/>
      <c r="F571" s="100"/>
    </row>
    <row r="572">
      <c r="C572" s="99"/>
      <c r="F572" s="100"/>
    </row>
    <row r="573">
      <c r="C573" s="99"/>
      <c r="F573" s="100"/>
    </row>
    <row r="574">
      <c r="C574" s="99"/>
      <c r="F574" s="100"/>
    </row>
    <row r="575">
      <c r="C575" s="99"/>
      <c r="F575" s="100"/>
    </row>
    <row r="576">
      <c r="C576" s="99"/>
      <c r="F576" s="100"/>
    </row>
    <row r="577">
      <c r="C577" s="99"/>
      <c r="F577" s="100"/>
    </row>
    <row r="578">
      <c r="C578" s="99"/>
      <c r="F578" s="100"/>
    </row>
    <row r="579">
      <c r="C579" s="99"/>
      <c r="F579" s="100"/>
    </row>
    <row r="580">
      <c r="C580" s="99"/>
      <c r="F580" s="100"/>
    </row>
    <row r="581">
      <c r="C581" s="99"/>
      <c r="F581" s="100"/>
    </row>
    <row r="582">
      <c r="C582" s="99"/>
      <c r="F582" s="100"/>
    </row>
    <row r="583">
      <c r="C583" s="99"/>
      <c r="F583" s="100"/>
    </row>
    <row r="584">
      <c r="C584" s="99"/>
      <c r="F584" s="100"/>
    </row>
    <row r="585">
      <c r="C585" s="99"/>
      <c r="F585" s="100"/>
    </row>
    <row r="586">
      <c r="C586" s="99"/>
      <c r="F586" s="100"/>
    </row>
    <row r="587">
      <c r="C587" s="99"/>
      <c r="F587" s="100"/>
    </row>
    <row r="588">
      <c r="C588" s="99"/>
      <c r="F588" s="100"/>
    </row>
    <row r="589">
      <c r="C589" s="99"/>
      <c r="F589" s="100"/>
    </row>
    <row r="590">
      <c r="C590" s="99"/>
      <c r="F590" s="100"/>
    </row>
    <row r="591">
      <c r="C591" s="99"/>
      <c r="F591" s="100"/>
    </row>
    <row r="592">
      <c r="C592" s="99"/>
      <c r="F592" s="100"/>
    </row>
    <row r="593">
      <c r="C593" s="99"/>
      <c r="F593" s="100"/>
    </row>
    <row r="594">
      <c r="C594" s="99"/>
      <c r="F594" s="100"/>
    </row>
    <row r="595">
      <c r="C595" s="99"/>
      <c r="F595" s="100"/>
    </row>
    <row r="596">
      <c r="C596" s="99"/>
      <c r="F596" s="100"/>
    </row>
    <row r="597">
      <c r="C597" s="99"/>
      <c r="F597" s="100"/>
    </row>
    <row r="598">
      <c r="C598" s="99"/>
      <c r="F598" s="100"/>
    </row>
    <row r="599">
      <c r="C599" s="99"/>
      <c r="F599" s="100"/>
    </row>
    <row r="600">
      <c r="C600" s="99"/>
      <c r="F600" s="100"/>
    </row>
    <row r="601">
      <c r="C601" s="99"/>
      <c r="F601" s="100"/>
    </row>
    <row r="602">
      <c r="C602" s="99"/>
      <c r="F602" s="100"/>
    </row>
    <row r="603">
      <c r="C603" s="99"/>
      <c r="F603" s="100"/>
    </row>
    <row r="604">
      <c r="C604" s="99"/>
      <c r="F604" s="100"/>
    </row>
    <row r="605">
      <c r="C605" s="99"/>
      <c r="F605" s="100"/>
    </row>
    <row r="606">
      <c r="C606" s="99"/>
      <c r="F606" s="100"/>
    </row>
    <row r="607">
      <c r="C607" s="99"/>
      <c r="F607" s="100"/>
    </row>
    <row r="608">
      <c r="C608" s="99"/>
      <c r="F608" s="100"/>
    </row>
    <row r="609">
      <c r="C609" s="99"/>
      <c r="F609" s="100"/>
    </row>
    <row r="610">
      <c r="C610" s="99"/>
      <c r="F610" s="100"/>
    </row>
    <row r="611">
      <c r="C611" s="99"/>
      <c r="F611" s="100"/>
    </row>
    <row r="612">
      <c r="C612" s="99"/>
      <c r="F612" s="100"/>
    </row>
    <row r="613">
      <c r="C613" s="99"/>
      <c r="F613" s="100"/>
    </row>
    <row r="614">
      <c r="C614" s="99"/>
      <c r="F614" s="100"/>
    </row>
    <row r="615">
      <c r="C615" s="99"/>
      <c r="F615" s="100"/>
    </row>
    <row r="616">
      <c r="C616" s="99"/>
      <c r="F616" s="100"/>
    </row>
    <row r="617">
      <c r="C617" s="99"/>
      <c r="F617" s="100"/>
    </row>
    <row r="618">
      <c r="C618" s="99"/>
      <c r="F618" s="100"/>
    </row>
    <row r="619">
      <c r="C619" s="99"/>
      <c r="F619" s="100"/>
    </row>
    <row r="620">
      <c r="C620" s="99"/>
      <c r="F620" s="100"/>
    </row>
    <row r="621">
      <c r="C621" s="99"/>
      <c r="F621" s="100"/>
    </row>
    <row r="622">
      <c r="C622" s="99"/>
      <c r="F622" s="100"/>
    </row>
    <row r="623">
      <c r="C623" s="99"/>
      <c r="F623" s="100"/>
    </row>
    <row r="624">
      <c r="C624" s="99"/>
      <c r="F624" s="100"/>
    </row>
    <row r="625">
      <c r="C625" s="99"/>
      <c r="F625" s="100"/>
    </row>
    <row r="626">
      <c r="C626" s="99"/>
      <c r="F626" s="100"/>
    </row>
    <row r="627">
      <c r="C627" s="99"/>
      <c r="F627" s="100"/>
    </row>
    <row r="628">
      <c r="C628" s="99"/>
      <c r="F628" s="100"/>
    </row>
    <row r="629">
      <c r="C629" s="99"/>
      <c r="F629" s="100"/>
    </row>
    <row r="630">
      <c r="C630" s="99"/>
      <c r="F630" s="100"/>
    </row>
    <row r="631">
      <c r="C631" s="99"/>
      <c r="F631" s="100"/>
    </row>
    <row r="632">
      <c r="C632" s="99"/>
      <c r="F632" s="100"/>
    </row>
    <row r="633">
      <c r="C633" s="99"/>
      <c r="F633" s="100"/>
    </row>
    <row r="634">
      <c r="C634" s="99"/>
      <c r="F634" s="100"/>
    </row>
    <row r="635">
      <c r="C635" s="99"/>
      <c r="F635" s="100"/>
    </row>
    <row r="636">
      <c r="C636" s="99"/>
      <c r="F636" s="100"/>
    </row>
    <row r="637">
      <c r="C637" s="99"/>
      <c r="F637" s="100"/>
    </row>
    <row r="638">
      <c r="C638" s="99"/>
      <c r="F638" s="100"/>
    </row>
    <row r="639">
      <c r="C639" s="99"/>
      <c r="F639" s="100"/>
    </row>
    <row r="640">
      <c r="C640" s="99"/>
      <c r="F640" s="100"/>
    </row>
    <row r="641">
      <c r="C641" s="99"/>
      <c r="F641" s="100"/>
    </row>
    <row r="642">
      <c r="C642" s="99"/>
      <c r="F642" s="100"/>
    </row>
    <row r="643">
      <c r="C643" s="99"/>
      <c r="F643" s="100"/>
    </row>
    <row r="644">
      <c r="C644" s="99"/>
      <c r="F644" s="100"/>
    </row>
    <row r="645">
      <c r="C645" s="99"/>
      <c r="F645" s="100"/>
    </row>
    <row r="646">
      <c r="C646" s="99"/>
      <c r="F646" s="100"/>
    </row>
    <row r="647">
      <c r="C647" s="99"/>
      <c r="F647" s="100"/>
    </row>
    <row r="648">
      <c r="C648" s="99"/>
      <c r="F648" s="100"/>
    </row>
    <row r="649">
      <c r="C649" s="99"/>
      <c r="F649" s="100"/>
    </row>
    <row r="650">
      <c r="C650" s="99"/>
      <c r="F650" s="100"/>
    </row>
    <row r="651">
      <c r="C651" s="99"/>
      <c r="F651" s="100"/>
    </row>
    <row r="652">
      <c r="C652" s="99"/>
      <c r="F652" s="100"/>
    </row>
    <row r="653">
      <c r="C653" s="99"/>
      <c r="F653" s="100"/>
    </row>
    <row r="654">
      <c r="C654" s="99"/>
      <c r="F654" s="100"/>
    </row>
    <row r="655">
      <c r="C655" s="99"/>
      <c r="F655" s="100"/>
    </row>
    <row r="656">
      <c r="C656" s="99"/>
      <c r="F656" s="100"/>
    </row>
    <row r="657">
      <c r="C657" s="99"/>
      <c r="F657" s="100"/>
    </row>
    <row r="658">
      <c r="C658" s="99"/>
      <c r="F658" s="100"/>
    </row>
    <row r="659">
      <c r="C659" s="99"/>
      <c r="F659" s="100"/>
    </row>
    <row r="660">
      <c r="C660" s="99"/>
      <c r="F660" s="100"/>
    </row>
    <row r="661">
      <c r="C661" s="99"/>
      <c r="F661" s="100"/>
    </row>
    <row r="662">
      <c r="C662" s="99"/>
      <c r="F662" s="100"/>
    </row>
    <row r="663">
      <c r="C663" s="99"/>
      <c r="F663" s="100"/>
    </row>
    <row r="664">
      <c r="C664" s="99"/>
      <c r="F664" s="100"/>
    </row>
    <row r="665">
      <c r="C665" s="99"/>
      <c r="F665" s="100"/>
    </row>
    <row r="666">
      <c r="C666" s="99"/>
      <c r="F666" s="100"/>
    </row>
    <row r="667">
      <c r="C667" s="99"/>
      <c r="F667" s="100"/>
    </row>
    <row r="668">
      <c r="C668" s="99"/>
      <c r="F668" s="100"/>
    </row>
    <row r="669">
      <c r="C669" s="99"/>
      <c r="F669" s="100"/>
    </row>
    <row r="670">
      <c r="C670" s="99"/>
      <c r="F670" s="100"/>
    </row>
    <row r="671">
      <c r="C671" s="99"/>
      <c r="F671" s="100"/>
    </row>
    <row r="672">
      <c r="C672" s="99"/>
      <c r="F672" s="100"/>
    </row>
    <row r="673">
      <c r="C673" s="99"/>
      <c r="F673" s="100"/>
    </row>
    <row r="674">
      <c r="C674" s="99"/>
      <c r="F674" s="100"/>
    </row>
    <row r="675">
      <c r="C675" s="99"/>
      <c r="F675" s="100"/>
    </row>
    <row r="676">
      <c r="C676" s="99"/>
      <c r="F676" s="100"/>
    </row>
    <row r="677">
      <c r="C677" s="99"/>
      <c r="F677" s="100"/>
    </row>
    <row r="678">
      <c r="C678" s="99"/>
      <c r="F678" s="100"/>
    </row>
    <row r="679">
      <c r="C679" s="99"/>
      <c r="F679" s="100"/>
    </row>
    <row r="680">
      <c r="C680" s="99"/>
      <c r="F680" s="100"/>
    </row>
    <row r="681">
      <c r="C681" s="99"/>
      <c r="F681" s="100"/>
    </row>
    <row r="682">
      <c r="C682" s="99"/>
      <c r="F682" s="100"/>
    </row>
    <row r="683">
      <c r="C683" s="99"/>
      <c r="F683" s="100"/>
    </row>
    <row r="684">
      <c r="C684" s="99"/>
      <c r="F684" s="100"/>
    </row>
    <row r="685">
      <c r="C685" s="99"/>
      <c r="F685" s="100"/>
    </row>
    <row r="686">
      <c r="C686" s="99"/>
      <c r="F686" s="100"/>
    </row>
    <row r="687">
      <c r="C687" s="99"/>
      <c r="F687" s="100"/>
    </row>
    <row r="688">
      <c r="C688" s="99"/>
      <c r="F688" s="100"/>
    </row>
    <row r="689">
      <c r="C689" s="99"/>
      <c r="F689" s="100"/>
    </row>
    <row r="690">
      <c r="C690" s="99"/>
      <c r="F690" s="100"/>
    </row>
    <row r="691">
      <c r="C691" s="99"/>
      <c r="F691" s="100"/>
    </row>
    <row r="692">
      <c r="C692" s="99"/>
      <c r="F692" s="100"/>
    </row>
    <row r="693">
      <c r="C693" s="99"/>
      <c r="F693" s="100"/>
    </row>
    <row r="694">
      <c r="C694" s="99"/>
      <c r="F694" s="100"/>
    </row>
    <row r="695">
      <c r="C695" s="99"/>
      <c r="F695" s="100"/>
    </row>
    <row r="696">
      <c r="C696" s="99"/>
      <c r="F696" s="100"/>
    </row>
    <row r="697">
      <c r="C697" s="99"/>
      <c r="F697" s="100"/>
    </row>
    <row r="698">
      <c r="C698" s="99"/>
      <c r="F698" s="100"/>
    </row>
    <row r="699">
      <c r="C699" s="99"/>
      <c r="F699" s="100"/>
    </row>
    <row r="700">
      <c r="C700" s="99"/>
      <c r="F700" s="100"/>
    </row>
    <row r="701">
      <c r="C701" s="99"/>
      <c r="F701" s="100"/>
    </row>
    <row r="702">
      <c r="C702" s="99"/>
      <c r="F702" s="100"/>
    </row>
    <row r="703">
      <c r="C703" s="99"/>
      <c r="F703" s="100"/>
    </row>
    <row r="704">
      <c r="C704" s="99"/>
      <c r="F704" s="100"/>
    </row>
    <row r="705">
      <c r="C705" s="99"/>
      <c r="F705" s="100"/>
    </row>
    <row r="706">
      <c r="C706" s="99"/>
      <c r="F706" s="100"/>
    </row>
    <row r="707">
      <c r="C707" s="99"/>
      <c r="F707" s="100"/>
    </row>
    <row r="708">
      <c r="C708" s="99"/>
      <c r="F708" s="100"/>
    </row>
    <row r="709">
      <c r="C709" s="99"/>
      <c r="F709" s="100"/>
    </row>
    <row r="710">
      <c r="C710" s="99"/>
      <c r="F710" s="100"/>
    </row>
    <row r="711">
      <c r="C711" s="99"/>
      <c r="F711" s="100"/>
    </row>
    <row r="712">
      <c r="C712" s="99"/>
      <c r="F712" s="100"/>
    </row>
    <row r="713">
      <c r="C713" s="99"/>
      <c r="F713" s="100"/>
    </row>
    <row r="714">
      <c r="C714" s="99"/>
      <c r="F714" s="100"/>
    </row>
    <row r="715">
      <c r="C715" s="99"/>
      <c r="F715" s="100"/>
    </row>
    <row r="716">
      <c r="C716" s="99"/>
      <c r="F716" s="100"/>
    </row>
    <row r="717">
      <c r="C717" s="99"/>
      <c r="F717" s="100"/>
    </row>
    <row r="718">
      <c r="C718" s="99"/>
      <c r="F718" s="100"/>
    </row>
    <row r="719">
      <c r="C719" s="99"/>
      <c r="F719" s="100"/>
    </row>
    <row r="720">
      <c r="C720" s="99"/>
      <c r="F720" s="100"/>
    </row>
    <row r="721">
      <c r="C721" s="99"/>
      <c r="F721" s="100"/>
    </row>
    <row r="722">
      <c r="C722" s="99"/>
      <c r="F722" s="100"/>
    </row>
    <row r="723">
      <c r="C723" s="99"/>
      <c r="F723" s="100"/>
    </row>
    <row r="724">
      <c r="C724" s="99"/>
      <c r="F724" s="100"/>
    </row>
    <row r="725">
      <c r="C725" s="99"/>
      <c r="F725" s="100"/>
    </row>
    <row r="726">
      <c r="C726" s="99"/>
      <c r="F726" s="100"/>
    </row>
    <row r="727">
      <c r="C727" s="99"/>
      <c r="F727" s="100"/>
    </row>
    <row r="728">
      <c r="C728" s="99"/>
      <c r="F728" s="100"/>
    </row>
    <row r="729">
      <c r="C729" s="99"/>
      <c r="F729" s="100"/>
    </row>
    <row r="730">
      <c r="C730" s="99"/>
      <c r="F730" s="100"/>
    </row>
    <row r="731">
      <c r="C731" s="99"/>
      <c r="F731" s="100"/>
    </row>
    <row r="732">
      <c r="C732" s="99"/>
      <c r="F732" s="100"/>
    </row>
    <row r="733">
      <c r="C733" s="99"/>
      <c r="F733" s="100"/>
    </row>
    <row r="734">
      <c r="C734" s="99"/>
      <c r="F734" s="100"/>
    </row>
    <row r="735">
      <c r="C735" s="99"/>
      <c r="F735" s="100"/>
    </row>
    <row r="736">
      <c r="C736" s="99"/>
      <c r="F736" s="100"/>
    </row>
    <row r="737">
      <c r="C737" s="99"/>
      <c r="F737" s="100"/>
    </row>
    <row r="738">
      <c r="C738" s="99"/>
      <c r="F738" s="100"/>
    </row>
    <row r="739">
      <c r="C739" s="99"/>
      <c r="F739" s="100"/>
    </row>
    <row r="740">
      <c r="C740" s="99"/>
      <c r="F740" s="100"/>
    </row>
    <row r="741">
      <c r="C741" s="99"/>
      <c r="F741" s="100"/>
    </row>
    <row r="742">
      <c r="C742" s="99"/>
      <c r="F742" s="100"/>
    </row>
    <row r="743">
      <c r="C743" s="99"/>
      <c r="F743" s="100"/>
    </row>
    <row r="744">
      <c r="C744" s="99"/>
      <c r="F744" s="100"/>
    </row>
    <row r="745">
      <c r="C745" s="99"/>
      <c r="F745" s="100"/>
    </row>
    <row r="746">
      <c r="C746" s="99"/>
      <c r="F746" s="100"/>
    </row>
    <row r="747">
      <c r="C747" s="99"/>
      <c r="F747" s="100"/>
    </row>
    <row r="748">
      <c r="C748" s="99"/>
      <c r="F748" s="100"/>
    </row>
    <row r="749">
      <c r="C749" s="99"/>
      <c r="F749" s="100"/>
    </row>
    <row r="750">
      <c r="C750" s="99"/>
      <c r="F750" s="100"/>
    </row>
    <row r="751">
      <c r="C751" s="99"/>
      <c r="F751" s="100"/>
    </row>
    <row r="752">
      <c r="C752" s="99"/>
      <c r="F752" s="100"/>
    </row>
    <row r="753">
      <c r="C753" s="99"/>
      <c r="F753" s="100"/>
    </row>
    <row r="754">
      <c r="C754" s="99"/>
      <c r="F754" s="100"/>
    </row>
    <row r="755">
      <c r="C755" s="99"/>
      <c r="F755" s="100"/>
    </row>
    <row r="756">
      <c r="C756" s="99"/>
      <c r="F756" s="100"/>
    </row>
    <row r="757">
      <c r="C757" s="99"/>
      <c r="F757" s="100"/>
    </row>
    <row r="758">
      <c r="C758" s="99"/>
      <c r="F758" s="100"/>
    </row>
    <row r="759">
      <c r="C759" s="99"/>
      <c r="F759" s="100"/>
    </row>
    <row r="760">
      <c r="C760" s="99"/>
      <c r="F760" s="100"/>
    </row>
    <row r="761">
      <c r="C761" s="99"/>
      <c r="F761" s="100"/>
    </row>
    <row r="762">
      <c r="C762" s="99"/>
      <c r="F762" s="100"/>
    </row>
    <row r="763">
      <c r="C763" s="99"/>
      <c r="F763" s="100"/>
    </row>
    <row r="764">
      <c r="C764" s="99"/>
      <c r="F764" s="100"/>
    </row>
    <row r="765">
      <c r="C765" s="99"/>
      <c r="F765" s="100"/>
    </row>
    <row r="766">
      <c r="C766" s="99"/>
      <c r="F766" s="100"/>
    </row>
    <row r="767">
      <c r="C767" s="99"/>
      <c r="F767" s="100"/>
    </row>
    <row r="768">
      <c r="C768" s="99"/>
      <c r="F768" s="100"/>
    </row>
    <row r="769">
      <c r="C769" s="99"/>
      <c r="F769" s="100"/>
    </row>
    <row r="770">
      <c r="C770" s="99"/>
      <c r="F770" s="100"/>
    </row>
    <row r="771">
      <c r="C771" s="99"/>
      <c r="F771" s="100"/>
    </row>
    <row r="772">
      <c r="C772" s="99"/>
      <c r="F772" s="100"/>
    </row>
    <row r="773">
      <c r="C773" s="99"/>
      <c r="F773" s="100"/>
    </row>
    <row r="774">
      <c r="C774" s="99"/>
      <c r="F774" s="100"/>
    </row>
    <row r="775">
      <c r="C775" s="99"/>
      <c r="F775" s="100"/>
    </row>
    <row r="776">
      <c r="C776" s="99"/>
      <c r="F776" s="100"/>
    </row>
    <row r="777">
      <c r="C777" s="99"/>
      <c r="F777" s="100"/>
    </row>
    <row r="778">
      <c r="C778" s="99"/>
      <c r="F778" s="100"/>
    </row>
    <row r="779">
      <c r="C779" s="99"/>
      <c r="F779" s="100"/>
    </row>
    <row r="780">
      <c r="C780" s="99"/>
      <c r="F780" s="100"/>
    </row>
    <row r="781">
      <c r="C781" s="99"/>
      <c r="F781" s="100"/>
    </row>
    <row r="782">
      <c r="C782" s="99"/>
      <c r="F782" s="100"/>
    </row>
    <row r="783">
      <c r="C783" s="99"/>
      <c r="F783" s="100"/>
    </row>
    <row r="784">
      <c r="C784" s="99"/>
      <c r="F784" s="100"/>
    </row>
    <row r="785">
      <c r="C785" s="99"/>
      <c r="F785" s="100"/>
    </row>
    <row r="786">
      <c r="C786" s="99"/>
      <c r="F786" s="100"/>
    </row>
    <row r="787">
      <c r="C787" s="99"/>
      <c r="F787" s="100"/>
    </row>
    <row r="788">
      <c r="C788" s="99"/>
      <c r="F788" s="100"/>
    </row>
    <row r="789">
      <c r="C789" s="99"/>
      <c r="F789" s="100"/>
    </row>
    <row r="790">
      <c r="C790" s="99"/>
      <c r="F790" s="100"/>
    </row>
    <row r="791">
      <c r="C791" s="99"/>
      <c r="F791" s="100"/>
    </row>
    <row r="792">
      <c r="C792" s="99"/>
      <c r="F792" s="100"/>
    </row>
    <row r="793">
      <c r="C793" s="99"/>
      <c r="F793" s="100"/>
    </row>
    <row r="794">
      <c r="C794" s="99"/>
      <c r="F794" s="100"/>
    </row>
    <row r="795">
      <c r="C795" s="99"/>
      <c r="F795" s="100"/>
    </row>
    <row r="796">
      <c r="C796" s="99"/>
      <c r="F796" s="100"/>
    </row>
    <row r="797">
      <c r="C797" s="99"/>
      <c r="F797" s="100"/>
    </row>
    <row r="798">
      <c r="C798" s="99"/>
      <c r="F798" s="100"/>
    </row>
    <row r="799">
      <c r="C799" s="99"/>
      <c r="F799" s="100"/>
    </row>
    <row r="800">
      <c r="C800" s="99"/>
      <c r="F800" s="100"/>
    </row>
    <row r="801">
      <c r="C801" s="99"/>
      <c r="F801" s="100"/>
    </row>
    <row r="802">
      <c r="C802" s="99"/>
      <c r="F802" s="100"/>
    </row>
    <row r="803">
      <c r="C803" s="99"/>
      <c r="F803" s="100"/>
    </row>
    <row r="804">
      <c r="C804" s="99"/>
      <c r="F804" s="100"/>
    </row>
    <row r="805">
      <c r="C805" s="99"/>
      <c r="F805" s="100"/>
    </row>
    <row r="806">
      <c r="C806" s="99"/>
      <c r="F806" s="100"/>
    </row>
    <row r="807">
      <c r="C807" s="99"/>
      <c r="F807" s="100"/>
    </row>
    <row r="808">
      <c r="C808" s="99"/>
      <c r="F808" s="100"/>
    </row>
    <row r="809">
      <c r="C809" s="99"/>
      <c r="F809" s="100"/>
    </row>
    <row r="810">
      <c r="C810" s="99"/>
      <c r="F810" s="100"/>
    </row>
    <row r="811">
      <c r="C811" s="99"/>
      <c r="F811" s="100"/>
    </row>
    <row r="812">
      <c r="C812" s="99"/>
      <c r="F812" s="100"/>
    </row>
    <row r="813">
      <c r="C813" s="99"/>
      <c r="F813" s="100"/>
    </row>
    <row r="814">
      <c r="C814" s="99"/>
      <c r="F814" s="100"/>
    </row>
    <row r="815">
      <c r="C815" s="99"/>
      <c r="F815" s="100"/>
    </row>
    <row r="816">
      <c r="C816" s="99"/>
      <c r="F816" s="100"/>
    </row>
    <row r="817">
      <c r="C817" s="99"/>
      <c r="F817" s="100"/>
    </row>
    <row r="818">
      <c r="C818" s="99"/>
      <c r="F818" s="100"/>
    </row>
    <row r="819">
      <c r="C819" s="99"/>
      <c r="F819" s="100"/>
    </row>
    <row r="820">
      <c r="C820" s="99"/>
      <c r="F820" s="100"/>
    </row>
    <row r="821">
      <c r="C821" s="99"/>
      <c r="F821" s="100"/>
    </row>
    <row r="822">
      <c r="C822" s="99"/>
      <c r="F822" s="100"/>
    </row>
    <row r="823">
      <c r="C823" s="99"/>
      <c r="F823" s="100"/>
    </row>
    <row r="824">
      <c r="C824" s="99"/>
      <c r="F824" s="100"/>
    </row>
    <row r="825">
      <c r="C825" s="99"/>
      <c r="F825" s="100"/>
    </row>
    <row r="826">
      <c r="C826" s="99"/>
      <c r="F826" s="100"/>
    </row>
    <row r="827">
      <c r="C827" s="99"/>
      <c r="F827" s="100"/>
    </row>
    <row r="828">
      <c r="C828" s="99"/>
      <c r="F828" s="100"/>
    </row>
    <row r="829">
      <c r="C829" s="99"/>
      <c r="F829" s="100"/>
    </row>
    <row r="830">
      <c r="C830" s="99"/>
      <c r="F830" s="100"/>
    </row>
    <row r="831">
      <c r="C831" s="99"/>
      <c r="F831" s="100"/>
    </row>
    <row r="832">
      <c r="C832" s="99"/>
      <c r="F832" s="100"/>
    </row>
    <row r="833">
      <c r="C833" s="99"/>
      <c r="F833" s="100"/>
    </row>
    <row r="834">
      <c r="C834" s="99"/>
      <c r="F834" s="100"/>
    </row>
    <row r="835">
      <c r="C835" s="99"/>
      <c r="F835" s="100"/>
    </row>
    <row r="836">
      <c r="C836" s="99"/>
      <c r="F836" s="100"/>
    </row>
    <row r="837">
      <c r="C837" s="99"/>
      <c r="F837" s="100"/>
    </row>
    <row r="838">
      <c r="C838" s="99"/>
      <c r="F838" s="100"/>
    </row>
    <row r="839">
      <c r="C839" s="99"/>
      <c r="F839" s="100"/>
    </row>
    <row r="840">
      <c r="C840" s="99"/>
      <c r="F840" s="100"/>
    </row>
    <row r="841">
      <c r="C841" s="99"/>
      <c r="F841" s="100"/>
    </row>
    <row r="842">
      <c r="C842" s="99"/>
      <c r="F842" s="100"/>
    </row>
    <row r="843">
      <c r="C843" s="99"/>
      <c r="F843" s="100"/>
    </row>
    <row r="844">
      <c r="C844" s="99"/>
      <c r="F844" s="100"/>
    </row>
    <row r="845">
      <c r="C845" s="99"/>
      <c r="F845" s="100"/>
    </row>
    <row r="846">
      <c r="C846" s="99"/>
      <c r="F846" s="100"/>
    </row>
    <row r="847">
      <c r="C847" s="99"/>
      <c r="F847" s="100"/>
    </row>
    <row r="848">
      <c r="C848" s="99"/>
      <c r="F848" s="100"/>
    </row>
    <row r="849">
      <c r="C849" s="99"/>
      <c r="F849" s="100"/>
    </row>
    <row r="850">
      <c r="C850" s="99"/>
      <c r="F850" s="100"/>
    </row>
    <row r="851">
      <c r="C851" s="99"/>
      <c r="F851" s="100"/>
    </row>
    <row r="852">
      <c r="C852" s="99"/>
      <c r="F852" s="100"/>
    </row>
    <row r="853">
      <c r="C853" s="99"/>
      <c r="F853" s="100"/>
    </row>
    <row r="854">
      <c r="C854" s="99"/>
      <c r="F854" s="100"/>
    </row>
    <row r="855">
      <c r="C855" s="99"/>
      <c r="F855" s="100"/>
    </row>
    <row r="856">
      <c r="C856" s="99"/>
      <c r="F856" s="100"/>
    </row>
    <row r="857">
      <c r="C857" s="99"/>
      <c r="F857" s="100"/>
    </row>
    <row r="858">
      <c r="C858" s="99"/>
      <c r="F858" s="100"/>
    </row>
    <row r="859">
      <c r="C859" s="99"/>
      <c r="F859" s="100"/>
    </row>
    <row r="860">
      <c r="C860" s="99"/>
      <c r="F860" s="100"/>
    </row>
    <row r="861">
      <c r="C861" s="99"/>
      <c r="F861" s="100"/>
    </row>
    <row r="862">
      <c r="C862" s="99"/>
      <c r="F862" s="100"/>
    </row>
    <row r="863">
      <c r="C863" s="99"/>
      <c r="F863" s="100"/>
    </row>
    <row r="864">
      <c r="C864" s="99"/>
      <c r="F864" s="100"/>
    </row>
    <row r="865">
      <c r="C865" s="99"/>
      <c r="F865" s="100"/>
    </row>
    <row r="866">
      <c r="C866" s="99"/>
      <c r="F866" s="100"/>
    </row>
    <row r="867">
      <c r="C867" s="99"/>
      <c r="F867" s="100"/>
    </row>
    <row r="868">
      <c r="C868" s="99"/>
      <c r="F868" s="100"/>
    </row>
    <row r="869">
      <c r="C869" s="99"/>
      <c r="F869" s="100"/>
    </row>
    <row r="870">
      <c r="C870" s="99"/>
      <c r="F870" s="100"/>
    </row>
    <row r="871">
      <c r="C871" s="99"/>
      <c r="F871" s="100"/>
    </row>
    <row r="872">
      <c r="C872" s="99"/>
      <c r="F872" s="100"/>
    </row>
    <row r="873">
      <c r="C873" s="99"/>
      <c r="F873" s="100"/>
    </row>
    <row r="874">
      <c r="C874" s="99"/>
      <c r="F874" s="100"/>
    </row>
    <row r="875">
      <c r="C875" s="99"/>
      <c r="F875" s="100"/>
    </row>
    <row r="876">
      <c r="C876" s="99"/>
      <c r="F876" s="100"/>
    </row>
    <row r="877">
      <c r="C877" s="99"/>
      <c r="F877" s="100"/>
    </row>
    <row r="878">
      <c r="C878" s="99"/>
      <c r="F878" s="100"/>
    </row>
    <row r="879">
      <c r="C879" s="99"/>
      <c r="F879" s="100"/>
    </row>
    <row r="880">
      <c r="C880" s="99"/>
      <c r="F880" s="100"/>
    </row>
    <row r="881">
      <c r="C881" s="99"/>
      <c r="F881" s="100"/>
    </row>
    <row r="882">
      <c r="C882" s="99"/>
      <c r="F882" s="100"/>
    </row>
    <row r="883">
      <c r="C883" s="99"/>
      <c r="F883" s="100"/>
    </row>
    <row r="884">
      <c r="C884" s="99"/>
      <c r="F884" s="100"/>
    </row>
    <row r="885">
      <c r="C885" s="99"/>
      <c r="F885" s="100"/>
    </row>
    <row r="886">
      <c r="C886" s="99"/>
      <c r="F886" s="100"/>
    </row>
    <row r="887">
      <c r="C887" s="99"/>
      <c r="F887" s="100"/>
    </row>
    <row r="888">
      <c r="C888" s="99"/>
      <c r="F888" s="100"/>
    </row>
    <row r="889">
      <c r="C889" s="99"/>
      <c r="F889" s="100"/>
    </row>
    <row r="890">
      <c r="C890" s="99"/>
      <c r="F890" s="100"/>
    </row>
    <row r="891">
      <c r="C891" s="99"/>
      <c r="F891" s="100"/>
    </row>
    <row r="892">
      <c r="C892" s="99"/>
      <c r="F892" s="100"/>
    </row>
    <row r="893">
      <c r="C893" s="99"/>
      <c r="F893" s="100"/>
    </row>
    <row r="894">
      <c r="C894" s="99"/>
      <c r="F894" s="100"/>
    </row>
    <row r="895">
      <c r="C895" s="99"/>
      <c r="F895" s="100"/>
    </row>
  </sheetData>
  <mergeCells count="19">
    <mergeCell ref="J1:K1"/>
    <mergeCell ref="J2:K2"/>
    <mergeCell ref="B3:I3"/>
    <mergeCell ref="A5:I5"/>
    <mergeCell ref="A6:A14"/>
    <mergeCell ref="A16:A18"/>
    <mergeCell ref="A19:A22"/>
    <mergeCell ref="A70:A78"/>
    <mergeCell ref="A81:F81"/>
    <mergeCell ref="A82:A85"/>
    <mergeCell ref="A86:A95"/>
    <mergeCell ref="A96:A98"/>
    <mergeCell ref="A23:A37"/>
    <mergeCell ref="A38:A52"/>
    <mergeCell ref="A53:A54"/>
    <mergeCell ref="A57:F57"/>
    <mergeCell ref="A58:A61"/>
    <mergeCell ref="A62:A63"/>
    <mergeCell ref="A64:A69"/>
  </mergeCells>
  <hyperlinks>
    <hyperlink r:id="rId1" ref="C2"/>
    <hyperlink r:id="rId2" ref="D2"/>
    <hyperlink r:id="rId3" ref="C6"/>
    <hyperlink r:id="rId4" ref="C7"/>
    <hyperlink r:id="rId5" ref="C8"/>
    <hyperlink r:id="rId6" ref="C9"/>
    <hyperlink r:id="rId7" ref="C10"/>
    <hyperlink r:id="rId8" ref="C11"/>
    <hyperlink r:id="rId9" ref="C12"/>
    <hyperlink r:id="rId10" ref="C13"/>
    <hyperlink r:id="rId11" ref="C15"/>
    <hyperlink r:id="rId12" ref="C16"/>
    <hyperlink r:id="rId13" ref="C17"/>
    <hyperlink r:id="rId14" ref="C18"/>
    <hyperlink r:id="rId15" ref="C19"/>
    <hyperlink r:id="rId16" ref="C20"/>
    <hyperlink r:id="rId17" ref="D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2"/>
    <hyperlink r:id="rId30" ref="C33"/>
    <hyperlink r:id="rId31" ref="C34"/>
    <hyperlink r:id="rId32" ref="C35"/>
    <hyperlink r:id="rId33" ref="D35"/>
    <hyperlink r:id="rId34" ref="C36"/>
    <hyperlink r:id="rId35" ref="C37"/>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8"/>
    <hyperlink r:id="rId54" ref="C59"/>
    <hyperlink r:id="rId55" ref="C60"/>
    <hyperlink r:id="rId56" ref="C61"/>
    <hyperlink r:id="rId57" ref="C62"/>
    <hyperlink r:id="rId58" ref="C63"/>
    <hyperlink r:id="rId59" ref="C64"/>
    <hyperlink r:id="rId60" ref="C65"/>
    <hyperlink r:id="rId61" ref="C66"/>
    <hyperlink r:id="rId62" ref="C67"/>
    <hyperlink r:id="rId63" ref="C68"/>
    <hyperlink r:id="rId64" ref="C69"/>
    <hyperlink r:id="rId65" ref="F69"/>
    <hyperlink r:id="rId66" ref="C70"/>
    <hyperlink r:id="rId67" ref="C71"/>
    <hyperlink r:id="rId68" ref="C72"/>
    <hyperlink r:id="rId69" ref="C73"/>
    <hyperlink r:id="rId70" ref="C74"/>
    <hyperlink r:id="rId71" ref="C75"/>
    <hyperlink r:id="rId72" ref="C76"/>
    <hyperlink r:id="rId73" ref="C77"/>
    <hyperlink r:id="rId74" ref="C78"/>
    <hyperlink r:id="rId75" ref="C82"/>
    <hyperlink r:id="rId76" ref="C83"/>
    <hyperlink r:id="rId77" ref="C84"/>
    <hyperlink r:id="rId78" ref="C85"/>
    <hyperlink r:id="rId79" ref="C86"/>
    <hyperlink r:id="rId80" ref="C87"/>
    <hyperlink r:id="rId81" ref="C88"/>
    <hyperlink r:id="rId82" ref="C89"/>
    <hyperlink r:id="rId83" ref="C90"/>
    <hyperlink r:id="rId84" ref="C91"/>
    <hyperlink r:id="rId85" ref="C92"/>
    <hyperlink r:id="rId86" ref="C93"/>
    <hyperlink r:id="rId87" ref="C94"/>
    <hyperlink r:id="rId88" ref="C95"/>
    <hyperlink r:id="rId89" ref="C96"/>
    <hyperlink r:id="rId90" ref="C97"/>
    <hyperlink r:id="rId91" ref="C98"/>
    <hyperlink r:id="rId92" ref="C99"/>
  </hyperlinks>
  <drawing r:id="rId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9.5" customHeight="1">
      <c r="A1" s="2" t="s">
        <v>1</v>
      </c>
      <c r="B1" s="2" t="s">
        <v>4</v>
      </c>
    </row>
    <row r="2">
      <c r="A2" s="5" t="s">
        <v>6</v>
      </c>
      <c r="B2" s="7">
        <v>24.0</v>
      </c>
      <c r="D2" s="8" t="s">
        <v>9</v>
      </c>
      <c r="E2" s="9">
        <v>25.0</v>
      </c>
      <c r="G2" s="5" t="s">
        <v>11</v>
      </c>
      <c r="H2" s="7">
        <v>12.0</v>
      </c>
    </row>
    <row r="3">
      <c r="A3" s="5" t="s">
        <v>13</v>
      </c>
      <c r="B3" s="7">
        <v>106.0</v>
      </c>
      <c r="D3" s="8" t="s">
        <v>14</v>
      </c>
      <c r="E3" s="11">
        <v>8.0</v>
      </c>
      <c r="G3" s="5" t="s">
        <v>16</v>
      </c>
      <c r="H3" s="7">
        <v>14.0</v>
      </c>
    </row>
    <row r="4">
      <c r="A4" s="5" t="s">
        <v>17</v>
      </c>
      <c r="B4" s="7">
        <v>43.0</v>
      </c>
      <c r="G4" s="5" t="s">
        <v>18</v>
      </c>
      <c r="H4" s="7">
        <v>18.0</v>
      </c>
    </row>
    <row r="5">
      <c r="A5" s="5" t="s">
        <v>19</v>
      </c>
      <c r="B5" s="7">
        <v>20.0</v>
      </c>
    </row>
    <row r="7">
      <c r="A7" s="5" t="s">
        <v>20</v>
      </c>
      <c r="B7" s="7">
        <v>32.0</v>
      </c>
    </row>
    <row r="8">
      <c r="A8" s="5" t="s">
        <v>21</v>
      </c>
      <c r="B8" s="7">
        <v>8.0</v>
      </c>
    </row>
    <row r="9">
      <c r="A9" s="5" t="s">
        <v>22</v>
      </c>
      <c r="B9" s="7">
        <v>19.0</v>
      </c>
    </row>
    <row r="11">
      <c r="A11" s="5" t="s">
        <v>23</v>
      </c>
      <c r="B11" s="7">
        <v>5.0</v>
      </c>
      <c r="D11" s="5" t="s">
        <v>24</v>
      </c>
      <c r="E11" s="7">
        <v>2.0</v>
      </c>
    </row>
    <row r="12">
      <c r="A12" s="5" t="s">
        <v>25</v>
      </c>
      <c r="B12" s="7">
        <v>14.0</v>
      </c>
      <c r="D12" s="5" t="s">
        <v>26</v>
      </c>
      <c r="E12" s="7">
        <v>5.0</v>
      </c>
    </row>
    <row r="13">
      <c r="A13" s="5" t="s">
        <v>27</v>
      </c>
      <c r="B13" s="7">
        <v>4.0</v>
      </c>
      <c r="D13" s="5" t="s">
        <v>28</v>
      </c>
      <c r="E13" s="7">
        <v>6.0</v>
      </c>
    </row>
    <row r="14">
      <c r="A14" s="5" t="s">
        <v>30</v>
      </c>
      <c r="B14" s="7">
        <v>11.0</v>
      </c>
    </row>
    <row r="15">
      <c r="A15" s="5" t="s">
        <v>31</v>
      </c>
      <c r="B15" s="7">
        <v>1.0</v>
      </c>
    </row>
    <row r="17">
      <c r="A17" s="5" t="s">
        <v>33</v>
      </c>
      <c r="B17" s="7">
        <v>5.0</v>
      </c>
    </row>
    <row r="18">
      <c r="A18" s="5" t="s">
        <v>35</v>
      </c>
      <c r="B18" s="7">
        <v>1.0</v>
      </c>
    </row>
    <row r="19">
      <c r="A19" s="5" t="s">
        <v>36</v>
      </c>
      <c r="B19" s="7">
        <v>6.0</v>
      </c>
    </row>
    <row r="20">
      <c r="A20" s="5" t="s">
        <v>37</v>
      </c>
      <c r="B20" s="7">
        <v>2.0</v>
      </c>
    </row>
    <row r="21">
      <c r="A21" s="5" t="s">
        <v>38</v>
      </c>
      <c r="B21" s="7">
        <v>2.0</v>
      </c>
    </row>
    <row r="22">
      <c r="A22" s="5" t="s">
        <v>39</v>
      </c>
      <c r="B22" s="7">
        <v>1.0</v>
      </c>
    </row>
  </sheetData>
  <drawing r:id="rId1"/>
</worksheet>
</file>