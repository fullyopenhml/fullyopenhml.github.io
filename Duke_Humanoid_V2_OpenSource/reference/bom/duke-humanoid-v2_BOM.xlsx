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<sst xmlns="http://schemas.openxmlformats.org/spreadsheetml/2006/main" count="132" uniqueCount="132">
  <si>
    <t>CNC_leg18_x2_foot_plate</t>
  </si>
  <si>
    <t>2pcs</t>
  </si>
  <si>
    <t>ITEM</t>
  </si>
  <si>
    <t>LINK (shortened if possible)</t>
  </si>
  <si>
    <t>UNIT COST</t>
  </si>
  <si>
    <t>QUANTITY</t>
  </si>
  <si>
    <t>TOTAL</t>
  </si>
  <si>
    <t>ELECTRONICS</t>
  </si>
  <si>
    <t xml:space="preserve">MINISFORUM X1-470 Mini PC
</t>
  </si>
  <si>
    <t>CNC_leg17_x2_ankle_roll_support_shaft</t>
  </si>
  <si>
    <t>amazon.com/MINISFORUM-Desktop-Computer-HDMI2-1-Graphics/dp/B0GM43XCGT</t>
  </si>
  <si>
    <t>CNC_leg05_x2_hip_roll_back_bearing_retainer</t>
  </si>
  <si>
    <t>CNC_leg03_x5_RS03_shaft_bearing_retainer</t>
  </si>
  <si>
    <t>CNC_leg06_x2_hip_roll_output_shaft</t>
  </si>
  <si>
    <t>CNC_leg11_x2_knee_support_shank</t>
  </si>
  <si>
    <t xml:space="preserve">CNC_leg10_x2_knee_output_shank </t>
  </si>
  <si>
    <t>CNC_leg15_x2_RS06_shaft_bearing_retainer</t>
  </si>
  <si>
    <t>CNC_leg13_x2_ankle_pitch_front</t>
  </si>
  <si>
    <t>Robstride 00 QDD Actuator</t>
  </si>
  <si>
    <t>https://www.robstride.com/products/robStride00</t>
  </si>
  <si>
    <t>CNC_leg04_x2_hip_roll_front_bearing_retainer</t>
  </si>
  <si>
    <t>CNC_leg07_x2_hip_roll_support_shaft</t>
  </si>
  <si>
    <t>CNC_leg08_x2_knee_front_bearing_retainer</t>
  </si>
  <si>
    <t>CNC_leg16_x2_ankle_roll_output_shaft</t>
  </si>
  <si>
    <t>CNC_leg01_x2_hip_center_back</t>
  </si>
  <si>
    <t>Robstride 02 QDD Actuator</t>
  </si>
  <si>
    <t>https://www.robstride.com/products/robStride02</t>
  </si>
  <si>
    <t>CNC_leg02_x7_RS03_shaft_coupler</t>
  </si>
  <si>
    <t>CNC_arm13_x2_RS05_shaft_coupler</t>
  </si>
  <si>
    <t>CNC_leg14_x2_ankle_pitch_back</t>
  </si>
  <si>
    <t>CNC_leg09_x2_knee_motor_back_cover</t>
  </si>
  <si>
    <t>CNC_arm06_x4_RS02_shaft_coupler</t>
  </si>
  <si>
    <t>Robstride 03 QDD Actuator</t>
  </si>
  <si>
    <t>CNC_arm04_x4_shoulder_roll_support_shaft</t>
  </si>
  <si>
    <t>CNC_body03_x1_top_plate</t>
  </si>
  <si>
    <t>https://www.robstride.com/products/robStride03</t>
  </si>
  <si>
    <t>CNC_arm05_x4_RS02_shaft_bearing</t>
  </si>
  <si>
    <t>CNC_arm03_x2_shoulder_roll_output_shaft</t>
  </si>
  <si>
    <t>CNC_body02_x2_side_plate</t>
  </si>
  <si>
    <t xml:space="preserve">CNC_leg02_x7_RS03_shaft_coupler </t>
  </si>
  <si>
    <t>CNC_body04_x4_front_plate</t>
  </si>
  <si>
    <t>CNC_arm11_x2_wrist_roll</t>
  </si>
  <si>
    <t>CNC_arm10_x4_r03_back_cover</t>
  </si>
  <si>
    <t>CNC_arm09_x2_elbow_output_shaft</t>
  </si>
  <si>
    <t>CNC_body01_x1_bottom_plate</t>
  </si>
  <si>
    <t>CNC_arm01_x2_shoulder_roll_front_bearing</t>
  </si>
  <si>
    <t>CNC_arm08_x2_elbow_back_bearing</t>
  </si>
  <si>
    <t>CNC_arm12_x2_wrist_pitch</t>
  </si>
  <si>
    <t>CNC_arm07_x2_elbow_front_bearing</t>
  </si>
  <si>
    <t>Robstride 04 QDD Actuator</t>
  </si>
  <si>
    <t>https://www.robstride.com/products/robStride04</t>
  </si>
  <si>
    <t>CNC_arm02_x2_shoulder_roll_back_bearing</t>
  </si>
  <si>
    <t>CNC_leg12_x4_lower_leg_bearing</t>
  </si>
  <si>
    <t>02_hip_0_m04_back_bracket_x2</t>
  </si>
  <si>
    <t>B6_single_leg_tester_plate</t>
  </si>
  <si>
    <t>08_hip_1_back_shaft_x2</t>
  </si>
  <si>
    <t>B5_body_shelf</t>
  </si>
  <si>
    <t>13_knee_front_shaft_x2</t>
  </si>
  <si>
    <t>17_ankle_0_back_cover_x2</t>
  </si>
  <si>
    <t>Robstride 05 QDD Actuator</t>
  </si>
  <si>
    <t>15_ankle_cap_x4</t>
  </si>
  <si>
    <t>https://www.robstride.com/products/robStride05</t>
  </si>
  <si>
    <t>B1_body_base_plate</t>
  </si>
  <si>
    <t>05_hip_1_front_bracket_x2</t>
  </si>
  <si>
    <t>18_ankle_1_back_retainer_x2</t>
  </si>
  <si>
    <t>22_foot_plate_x2</t>
  </si>
  <si>
    <t>12_knee_m04_back_cover_x2</t>
  </si>
  <si>
    <t>21_ankle_1_front_shaft_x4</t>
  </si>
  <si>
    <t>04_hip_1_m04_shaft_x2</t>
  </si>
  <si>
    <t>06_hip_1_back_bracket_x2</t>
  </si>
  <si>
    <t>09_hip_2_back_cover_x2</t>
  </si>
  <si>
    <t>10_m03_front_retainer_x2</t>
  </si>
  <si>
    <t>01_m03_shaft_x3</t>
  </si>
  <si>
    <t>Robstride 06 QDD Actuator</t>
  </si>
  <si>
    <t>16_ankle_0_front_retainer_x2</t>
  </si>
  <si>
    <t>https://www.robstride.com/products/robStride06</t>
  </si>
  <si>
    <t>03_hip_1_m04_front_retainer_x2</t>
  </si>
  <si>
    <t>B3_body_side_plate_x2</t>
  </si>
  <si>
    <t>B2_body_top_plate</t>
  </si>
  <si>
    <t>14_knee_back_shaft_x2</t>
  </si>
  <si>
    <t>19_ankle_1_m02_back_cover_x2</t>
  </si>
  <si>
    <t>11_knee_m04_front_retainer_x2</t>
  </si>
  <si>
    <t>07_hip_1_front_shaft_x2</t>
  </si>
  <si>
    <t>20_ankle_1_front_retainer_x2</t>
  </si>
  <si>
    <t>Zeee 6S Lipo Battery 10000mAh 22.2V x2</t>
  </si>
  <si>
    <t>https://www.amazon.com/dp/B0BHQX8XQX?lv=shuf&amp;channelId=500&amp;plpRedirect=mhFallback</t>
  </si>
  <si>
    <t>TVS DIODE 53VWM 85VC</t>
  </si>
  <si>
    <t>https://www.digikey.com/en/products/detail/microchip-technology/M1-5KE62CA/4349574</t>
  </si>
  <si>
    <t>Belkin USB A to USB C Cable 2-Pack, 6.6ft</t>
  </si>
  <si>
    <t>https://www.amazon.com/Belkin-USB-Cable-2-Pack-6-6ft/dp/B0F63XNWN3?th=1</t>
  </si>
  <si>
    <t>Serial Bus Servo Driver Board for ST/SC Series Serial Bus Servos</t>
  </si>
  <si>
    <t>https://www.waveshare.com/product/robotics/drivers-sensors/drivers/bus-servo-adapter-a.htm</t>
  </si>
  <si>
    <t xml:space="preserve">DC 20V-60V to 12V Encased Buck Converter </t>
  </si>
  <si>
    <t>https://www.amazon.com/gp/product/B0G2SV9PFY?th=1</t>
  </si>
  <si>
    <t>48V to 12V Buck Converter</t>
  </si>
  <si>
    <t>https://www.aliexpress.us/item/3256809688561615.html?spm=a2g0o.detail.0.0.4fd9AhcQAhcQuZ</t>
  </si>
  <si>
    <t>CANable PRO V2.0 USBCAN Controller</t>
  </si>
  <si>
    <t>https://www.amazon.com/Macrobase-PRO-V2-0-Controller-transceiver/dp/B0GJSRZLBV/</t>
  </si>
  <si>
    <t>RealSense Depth Camera D436</t>
  </si>
  <si>
    <t>https://store.realsenseai.com/buy-intel-realsense-depth-camera-d436.html</t>
  </si>
  <si>
    <t>Feetech HL-3915-C001 12V 14.2Kg Servo</t>
  </si>
  <si>
    <t>https://aifitlab.com/products/feetech-hl-3915-servo-motor?variant=44326557417608</t>
  </si>
  <si>
    <t>Vention USB Hub</t>
  </si>
  <si>
    <t>https://www.amazon.com/VENTION-Splitter-Expander-Chromebook-Surface/dp/B0D2XWJ99H</t>
  </si>
  <si>
    <t>IMU</t>
  </si>
  <si>
    <t>https://www.robotshop.com/products/syd-dynamics-transducerm-tm171-9-axis-ahrs-w-dual-port-communication</t>
  </si>
  <si>
    <t>HARDWARE</t>
  </si>
  <si>
    <t>example: fasteners, nuts</t>
  </si>
  <si>
    <t>5PCS Amass XT30(2+2). select Color (fist option): XT30U(2 2)-F</t>
  </si>
  <si>
    <t>https://www.aliexpress.us/item/3256807585110718.html</t>
  </si>
  <si>
    <t>Frienda 30 Pairs XT30 Connectors Male and Female Connectors Plugs Set</t>
  </si>
  <si>
    <t>https://www.amazon.com/Connectors-Female-Pieces-Shrink-Battery/dp/B0BB2XF5SQ?th=1</t>
  </si>
  <si>
    <t>Alex Tech 25ft - 1/4 inch Cord Protector Wire Loom Tubing Cable Sleeve</t>
  </si>
  <si>
    <t>https://www.amazon.com/Alex-Tech-10ft-Protector-Sleeving/dp/B07FW86XV6/?th=1</t>
  </si>
  <si>
    <t>Alex Tech 25ft - 3/8 inch Cord Protector Wire Loom Tubing Cable Sleeve</t>
  </si>
  <si>
    <t>https://www.amazon.com/Alex-Tech-25ft-Protector-Sleeving/dp/B07FW4M7Z8/?th=1</t>
  </si>
  <si>
    <t>Duttek Short USB C Extension Cable 40Gbps</t>
  </si>
  <si>
    <t>https://www.amazon.com/dp/B0CWGW3LTJ?th=1</t>
  </si>
  <si>
    <t>USB A to USB C 3.1 Gen 2 Cable</t>
  </si>
  <si>
    <t>https://www.amazon.com/Transfer-Charging-Samsung-SanDisk-Portable/dp/B09H2LLXPN?th=1</t>
  </si>
  <si>
    <t>1ft Short USB-C Cable with Right-Angle Plug</t>
  </si>
  <si>
    <t>https://www.amazon.com/Afterplug-Right-Angle-Charging-Ultra-Flexible-Silicone/dp/B0G2LVGZ39</t>
  </si>
  <si>
    <t>MATERIALS</t>
  </si>
  <si>
    <t>CNC Leg Parts</t>
  </si>
  <si>
    <t>TODO: BREAK INTO INDIVIDUAL CNC PARTS</t>
  </si>
  <si>
    <t>CNC Arm Parts</t>
  </si>
  <si>
    <t>CNC Body Parts</t>
  </si>
  <si>
    <t>TPU</t>
  </si>
  <si>
    <t>PLA</t>
  </si>
  <si>
    <t>Nylon Powder for SLS</t>
  </si>
  <si>
    <t>TOTAL CNC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</si>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</sst>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3">
    <font>
      <sz val="10.0"/>
      <color rgb="FF000000"/>
      <name val="Arial"/>
      <scheme val="minor"/>
    </font>
    <font>
      <sz val="11.0"/>
      <color rgb="FF222222"/>
      <name val="Inte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3" fontId="1" numFmtId="0" xfId="0" applyAlignment="1" applyFill="1" applyFont="1">
      <alignment readingOrder="0" shrinkToFit="0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 vertical="center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164" xfId="0" applyFont="1" applyNumberFormat="1"/>
    <xf borderId="0" fillId="0" fontId="6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2" fontId="1" numFmtId="164" xfId="0" applyAlignment="1" applyFill="1" applyFont="1" applyNumberFormat="1">
      <alignment vertical="bottom"/>
    </xf>
    <xf borderId="0" fillId="2" fontId="1" numFmtId="164" xfId="0" applyAlignment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8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shrinkToFit="0" wrapText="1"/>
    </xf>
    <xf borderId="0" fillId="2" fontId="5" numFmtId="0" xfId="0" applyAlignment="1" applyFill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right" readingOrder="0" vertical="bottom"/>
    </xf>
    <xf borderId="0" fillId="2" fontId="5" numFmtId="0" xfId="0" applyAlignment="1" applyFill="1" applyFont="1">
      <alignment readingOrder="0" shrinkToFit="0" wrapText="1"/>
    </xf>
    <xf borderId="0" fillId="0" fontId="2" numFmtId="164" xfId="0" applyAlignment="1" applyFont="1" applyNumberFormat="1">
      <alignment horizontal="right" vertical="bottom"/>
    </xf>
    <xf borderId="0" fillId="0" fontId="4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Connectors-Female-Pieces-Shrink-Battery/dp/B0BB2XF5SQ?th=1" TargetMode="External"/><Relationship Id="rId22" Type="http://schemas.openxmlformats.org/officeDocument/2006/relationships/hyperlink" Target="https://www.amazon.com/Alex-Tech-25ft-Protector-Sleeving/dp/B07FW4M7Z8/?th=1" TargetMode="External"/><Relationship Id="rId21" Type="http://schemas.openxmlformats.org/officeDocument/2006/relationships/hyperlink" Target="https://www.amazon.com/Alex-Tech-10ft-Protector-Sleeving/dp/B07FW86XV6/?th=1" TargetMode="External"/><Relationship Id="rId24" Type="http://schemas.openxmlformats.org/officeDocument/2006/relationships/hyperlink" Target="https://www.amazon.com/Transfer-Charging-Samsung-SanDisk-Portable/dp/B09H2LLXPN?th=1" TargetMode="External"/><Relationship Id="rId23" Type="http://schemas.openxmlformats.org/officeDocument/2006/relationships/hyperlink" Target="https://www.amazon.com/dp/B0CWGW3LTJ?th=1" TargetMode="External"/><Relationship Id="rId1" Type="http://schemas.openxmlformats.org/officeDocument/2006/relationships/hyperlink" Target="http://amazon.com/MINISFORUM-Desktop-Computer-HDMI2-1-Graphics/dp/B0GM43XCGT" TargetMode="External"/><Relationship Id="rId2" Type="http://schemas.openxmlformats.org/officeDocument/2006/relationships/hyperlink" Target="https://www.robstride.com/products/robStride00" TargetMode="External"/><Relationship Id="rId3" Type="http://schemas.openxmlformats.org/officeDocument/2006/relationships/hyperlink" Target="https://www.robstride.com/products/robStride02" TargetMode="External"/><Relationship Id="rId4" Type="http://schemas.openxmlformats.org/officeDocument/2006/relationships/hyperlink" Target="https://www.robstride.com/products/robStride03" TargetMode="External"/><Relationship Id="rId9" Type="http://schemas.openxmlformats.org/officeDocument/2006/relationships/hyperlink" Target="https://www.digikey.com/en/products/detail/microchip-technology/M1-5KE62CA/4349574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amazon.com/Afterplug-Right-Angle-Charging-Ultra-Flexible-Silicone/dp/B0G2LVGZ39" TargetMode="External"/><Relationship Id="rId5" Type="http://schemas.openxmlformats.org/officeDocument/2006/relationships/hyperlink" Target="https://www.robstride.com/products/robStride04" TargetMode="External"/><Relationship Id="rId6" Type="http://schemas.openxmlformats.org/officeDocument/2006/relationships/hyperlink" Target="https://www.robstride.com/products/robStride05" TargetMode="External"/><Relationship Id="rId7" Type="http://schemas.openxmlformats.org/officeDocument/2006/relationships/hyperlink" Target="https://www.robstride.com/products/robStride06" TargetMode="External"/><Relationship Id="rId8" Type="http://schemas.openxmlformats.org/officeDocument/2006/relationships/hyperlink" Target="https://www.amazon.com/dp/B0BHQX8XQX?lv=shuf&amp;channelId=500&amp;plpRedirect=mhFallback" TargetMode="External"/><Relationship Id="rId11" Type="http://schemas.openxmlformats.org/officeDocument/2006/relationships/hyperlink" Target="https://www.waveshare.com/product/robotics/drivers-sensors/drivers/bus-servo-adapter-a.htm" TargetMode="External"/><Relationship Id="rId10" Type="http://schemas.openxmlformats.org/officeDocument/2006/relationships/hyperlink" Target="https://www.amazon.com/Belkin-USB-Cable-2-Pack-6-6ft/dp/B0F63XNWN3?th=1" TargetMode="External"/><Relationship Id="rId13" Type="http://schemas.openxmlformats.org/officeDocument/2006/relationships/hyperlink" Target="https://www.aliexpress.us/item/3256809688561615.html?spm=a2g0o.detail.0.0.4fd9AhcQAhcQuZ" TargetMode="External"/><Relationship Id="rId12" Type="http://schemas.openxmlformats.org/officeDocument/2006/relationships/hyperlink" Target="https://www.amazon.com/gp/product/B0G2SV9PFY?th=1" TargetMode="External"/><Relationship Id="rId15" Type="http://schemas.openxmlformats.org/officeDocument/2006/relationships/hyperlink" Target="https://store.realsenseai.com/buy-intel-realsense-depth-camera-d436.html" TargetMode="External"/><Relationship Id="rId14" Type="http://schemas.openxmlformats.org/officeDocument/2006/relationships/hyperlink" Target="https://www.amazon.com/Macrobase-PRO-V2-0-Controller-transceiver/dp/B0GJSRZLBV/" TargetMode="External"/><Relationship Id="rId17" Type="http://schemas.openxmlformats.org/officeDocument/2006/relationships/hyperlink" Target="https://www.amazon.com/VENTION-Splitter-Expander-Chromebook-Surface/dp/B0D2XWJ99H" TargetMode="External"/><Relationship Id="rId16" Type="http://schemas.openxmlformats.org/officeDocument/2006/relationships/hyperlink" Target="https://aifitlab.com/products/feetech-hl-3915-servo-motor?variant=44326557417608" TargetMode="External"/><Relationship Id="rId19" Type="http://schemas.openxmlformats.org/officeDocument/2006/relationships/hyperlink" Target="https://www.aliexpress.us/item/3256807585110718.html" TargetMode="External"/><Relationship Id="rId18" Type="http://schemas.openxmlformats.org/officeDocument/2006/relationships/hyperlink" Target="https://www.robotshop.com/products/syd-dynamics-transducerm-tm171-9-axis-ahrs-w-dual-port-communicatio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4.88"/>
    <col customWidth="1" min="3" max="3" width="28.88"/>
  </cols>
  <sheetData>
    <row r="1">
      <c r="A1" s="6"/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>
      <c r="A2" s="8" t="s">
        <v>7</v>
      </c>
      <c r="B2" s="10" t="s">
        <v>8</v>
      </c>
      <c r="C2" s="12" t="s">
        <v>10</v>
      </c>
      <c r="D2" s="13">
        <v>1295.0</v>
      </c>
      <c r="E2" s="14">
        <v>1.0</v>
      </c>
      <c r="F2" s="13">
        <f t="shared" ref="F2:F27" si="1"> D2*E2</f>
        <v>1295</v>
      </c>
    </row>
    <row r="3">
      <c r="B3" s="10" t="s">
        <v>18</v>
      </c>
      <c r="C3" s="12" t="s">
        <v>19</v>
      </c>
      <c r="D3" s="15">
        <v>125.0</v>
      </c>
      <c r="E3" s="14">
        <v>2.0</v>
      </c>
      <c r="F3" s="13">
        <f t="shared" si="1"/>
        <v>250</v>
      </c>
    </row>
    <row r="4">
      <c r="B4" s="10" t="s">
        <v>25</v>
      </c>
      <c r="C4" s="12" t="s">
        <v>26</v>
      </c>
      <c r="D4" s="15">
        <v>145.0</v>
      </c>
      <c r="E4" s="14">
        <v>6.0</v>
      </c>
      <c r="F4" s="13">
        <f t="shared" si="1"/>
        <v>870</v>
      </c>
    </row>
    <row r="5">
      <c r="B5" s="18" t="s">
        <v>32</v>
      </c>
      <c r="C5" s="19" t="s">
        <v>35</v>
      </c>
      <c r="D5" s="20">
        <v>225.0</v>
      </c>
      <c r="E5" s="21">
        <v>11.0</v>
      </c>
      <c r="F5" s="13">
        <f t="shared" si="1"/>
        <v>2475</v>
      </c>
    </row>
    <row r="6">
      <c r="B6" s="10" t="s">
        <v>49</v>
      </c>
      <c r="C6" s="22" t="s">
        <v>50</v>
      </c>
      <c r="D6" s="15">
        <v>255.0</v>
      </c>
      <c r="E6" s="14">
        <v>2.0</v>
      </c>
      <c r="F6" s="13">
        <f t="shared" si="1"/>
        <v>510</v>
      </c>
    </row>
    <row r="7">
      <c r="B7" s="23" t="s">
        <v>59</v>
      </c>
      <c r="C7" s="24" t="s">
        <v>61</v>
      </c>
      <c r="D7" s="20">
        <v>110.0</v>
      </c>
      <c r="E7" s="4">
        <v>6.0</v>
      </c>
      <c r="F7" s="13">
        <f t="shared" si="1"/>
        <v>660</v>
      </c>
    </row>
    <row r="8">
      <c r="B8" s="23" t="s">
        <v>73</v>
      </c>
      <c r="C8" s="24" t="s">
        <v>75</v>
      </c>
      <c r="D8" s="20">
        <v>210.0</v>
      </c>
      <c r="E8" s="4">
        <v>4.0</v>
      </c>
      <c r="F8" s="13">
        <f t="shared" si="1"/>
        <v>840</v>
      </c>
    </row>
    <row r="9">
      <c r="B9" s="10" t="s">
        <v>84</v>
      </c>
      <c r="C9" s="25" t="s">
        <v>85</v>
      </c>
      <c r="D9" s="13">
        <v>306.0</v>
      </c>
      <c r="E9" s="14">
        <v>1.0</v>
      </c>
      <c r="F9" s="13">
        <f t="shared" si="1"/>
        <v>306</v>
      </c>
    </row>
    <row r="10">
      <c r="B10" s="26" t="s">
        <v>86</v>
      </c>
      <c r="C10" s="25" t="s">
        <v>87</v>
      </c>
      <c r="D10" s="13">
        <v>3.56</v>
      </c>
      <c r="E10" s="14">
        <v>10.0</v>
      </c>
      <c r="F10" s="13">
        <f t="shared" si="1"/>
        <v>35.6</v>
      </c>
    </row>
    <row r="11">
      <c r="B11" s="26" t="s">
        <v>88</v>
      </c>
      <c r="C11" s="25" t="s">
        <v>89</v>
      </c>
      <c r="D11" s="13">
        <v>14.99</v>
      </c>
      <c r="E11" s="14">
        <v>2.0</v>
      </c>
      <c r="F11" s="13">
        <f t="shared" si="1"/>
        <v>29.98</v>
      </c>
    </row>
    <row r="12">
      <c r="B12" s="27" t="s">
        <v>90</v>
      </c>
      <c r="C12" s="25" t="s">
        <v>91</v>
      </c>
      <c r="D12" s="13">
        <v>4.99</v>
      </c>
      <c r="E12" s="14">
        <v>2.0</v>
      </c>
      <c r="F12" s="13">
        <f t="shared" si="1"/>
        <v>9.98</v>
      </c>
    </row>
    <row r="13">
      <c r="B13" s="26" t="s">
        <v>92</v>
      </c>
      <c r="C13" s="28" t="s">
        <v>93</v>
      </c>
      <c r="D13" s="13">
        <v>18.99</v>
      </c>
      <c r="E13" s="14">
        <v>1.0</v>
      </c>
      <c r="F13" s="13">
        <f t="shared" si="1"/>
        <v>18.99</v>
      </c>
    </row>
    <row r="14">
      <c r="B14" s="10" t="s">
        <v>94</v>
      </c>
      <c r="C14" s="25" t="s">
        <v>95</v>
      </c>
      <c r="D14" s="13">
        <v>2.7</v>
      </c>
      <c r="E14" s="14">
        <v>2.0</v>
      </c>
      <c r="F14" s="13">
        <f t="shared" si="1"/>
        <v>5.4</v>
      </c>
    </row>
    <row r="15">
      <c r="B15" s="10" t="s">
        <v>96</v>
      </c>
      <c r="C15" s="25" t="s">
        <v>97</v>
      </c>
      <c r="D15" s="13">
        <v>20.8</v>
      </c>
      <c r="E15" s="14">
        <v>6.0</v>
      </c>
      <c r="F15" s="13">
        <f t="shared" si="1"/>
        <v>124.8</v>
      </c>
    </row>
    <row r="16">
      <c r="B16" s="10" t="s">
        <v>98</v>
      </c>
      <c r="C16" s="25" t="s">
        <v>99</v>
      </c>
      <c r="D16" s="15">
        <v>354.0</v>
      </c>
      <c r="E16" s="14">
        <v>2.0</v>
      </c>
      <c r="F16" s="13">
        <f t="shared" si="1"/>
        <v>708</v>
      </c>
    </row>
    <row r="17">
      <c r="B17" s="10" t="s">
        <v>100</v>
      </c>
      <c r="C17" s="12" t="s">
        <v>101</v>
      </c>
      <c r="D17" s="15">
        <v>50.0</v>
      </c>
      <c r="E17" s="14">
        <v>2.0</v>
      </c>
      <c r="F17" s="13">
        <f t="shared" si="1"/>
        <v>100</v>
      </c>
    </row>
    <row r="18">
      <c r="B18" s="10" t="s">
        <v>102</v>
      </c>
      <c r="C18" s="25" t="s">
        <v>103</v>
      </c>
      <c r="D18" s="13">
        <v>12.99</v>
      </c>
      <c r="E18" s="14">
        <v>3.0</v>
      </c>
      <c r="F18" s="13">
        <f t="shared" si="1"/>
        <v>38.97</v>
      </c>
    </row>
    <row r="19">
      <c r="B19" s="10" t="s">
        <v>104</v>
      </c>
      <c r="C19" s="25" t="s">
        <v>105</v>
      </c>
      <c r="D19" s="15">
        <v>57.0</v>
      </c>
      <c r="E19" s="14">
        <v>1.0</v>
      </c>
      <c r="F19" s="13">
        <f t="shared" si="1"/>
        <v>57</v>
      </c>
    </row>
    <row r="20">
      <c r="A20" s="8" t="s">
        <v>106</v>
      </c>
      <c r="B20" s="10" t="s">
        <v>107</v>
      </c>
      <c r="F20" s="13">
        <f t="shared" si="1"/>
        <v>0</v>
      </c>
    </row>
    <row r="21">
      <c r="B21" s="27" t="s">
        <v>108</v>
      </c>
      <c r="C21" s="29" t="s">
        <v>109</v>
      </c>
      <c r="D21" s="30">
        <v>5.0</v>
      </c>
      <c r="E21" s="21">
        <v>4.0</v>
      </c>
      <c r="F21" s="13">
        <f t="shared" si="1"/>
        <v>20</v>
      </c>
    </row>
    <row r="22">
      <c r="B22" s="31" t="s">
        <v>110</v>
      </c>
      <c r="C22" s="29" t="s">
        <v>111</v>
      </c>
      <c r="D22" s="30">
        <v>14.99</v>
      </c>
      <c r="E22" s="21">
        <v>1.0</v>
      </c>
      <c r="F22" s="13">
        <f t="shared" si="1"/>
        <v>14.99</v>
      </c>
    </row>
    <row r="23">
      <c r="B23" s="31" t="s">
        <v>112</v>
      </c>
      <c r="C23" s="29" t="s">
        <v>113</v>
      </c>
      <c r="D23" s="30">
        <v>13.99</v>
      </c>
      <c r="E23" s="21">
        <v>1.0</v>
      </c>
      <c r="F23" s="13">
        <f t="shared" si="1"/>
        <v>13.99</v>
      </c>
    </row>
    <row r="24">
      <c r="B24" s="31" t="s">
        <v>114</v>
      </c>
      <c r="C24" s="29" t="s">
        <v>115</v>
      </c>
      <c r="D24" s="30">
        <v>15.98</v>
      </c>
      <c r="E24" s="21">
        <v>1.0</v>
      </c>
      <c r="F24" s="13">
        <f t="shared" si="1"/>
        <v>15.98</v>
      </c>
    </row>
    <row r="25">
      <c r="B25" s="26" t="s">
        <v>116</v>
      </c>
      <c r="C25" s="29" t="s">
        <v>117</v>
      </c>
      <c r="D25" s="30">
        <v>9.76</v>
      </c>
      <c r="E25" s="21">
        <v>2.0</v>
      </c>
      <c r="F25" s="32">
        <f t="shared" si="1"/>
        <v>19.52</v>
      </c>
    </row>
    <row r="26">
      <c r="B26" s="26" t="s">
        <v>118</v>
      </c>
      <c r="C26" s="29" t="s">
        <v>119</v>
      </c>
      <c r="D26" s="30">
        <v>9.99</v>
      </c>
      <c r="E26" s="21">
        <v>6.0</v>
      </c>
      <c r="F26" s="32">
        <f t="shared" si="1"/>
        <v>59.94</v>
      </c>
    </row>
    <row r="27">
      <c r="B27" s="26" t="s">
        <v>120</v>
      </c>
      <c r="C27" s="29" t="s">
        <v>121</v>
      </c>
      <c r="D27" s="30">
        <v>12.99</v>
      </c>
      <c r="E27" s="21">
        <v>1.0</v>
      </c>
      <c r="F27" s="32">
        <f t="shared" si="1"/>
        <v>12.99</v>
      </c>
    </row>
    <row r="28">
      <c r="A28" s="8" t="s">
        <v>122</v>
      </c>
      <c r="B28" s="10" t="s">
        <v>123</v>
      </c>
      <c r="C28" s="14" t="s">
        <v>124</v>
      </c>
      <c r="F28" s="33"/>
    </row>
    <row r="29">
      <c r="B29" s="10" t="s">
        <v>125</v>
      </c>
      <c r="F29" s="13"/>
    </row>
    <row r="30">
      <c r="B30" s="10" t="s">
        <v>126</v>
      </c>
      <c r="F30" s="33"/>
    </row>
    <row r="31">
      <c r="B31" s="14" t="s">
        <v>127</v>
      </c>
    </row>
    <row r="32">
      <c r="B32" s="14" t="s">
        <v>128</v>
      </c>
    </row>
    <row r="33">
      <c r="B33" s="14" t="s">
        <v>129</v>
      </c>
    </row>
    <row r="34">
      <c r="E34" s="14" t="s">
        <v>130</v>
      </c>
      <c r="F34" s="9">
        <f>6389.86</f>
        <v>6389.86</v>
      </c>
    </row>
    <row r="35">
      <c r="B35" s="1"/>
    </row>
    <row r="36">
      <c r="B36" s="1"/>
      <c r="E36" s="34" t="s">
        <v>131</v>
      </c>
      <c r="F36" s="11">
        <f> SUM(F2:F27) + F34</f>
        <v>14881.99</v>
      </c>
    </row>
    <row r="37">
      <c r="B37" s="1"/>
    </row>
    <row r="38">
      <c r="B38" s="1"/>
    </row>
    <row r="39">
      <c r="B39" s="1"/>
    </row>
  </sheetData>
  <mergeCells count="3">
    <mergeCell ref="A2:A19"/>
    <mergeCell ref="A20:A27"/>
    <mergeCell ref="A28:A34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44.13"/>
  </cols>
  <sheetData>
    <row r="1">
      <c r="A1" s="1"/>
    </row>
    <row r="2">
      <c r="A2" s="2"/>
      <c r="B2" s="3" t="s">
        <v>0</v>
      </c>
      <c r="C2" s="4">
        <v>107.52</v>
      </c>
      <c r="D2" s="5" t="s">
        <v>1</v>
      </c>
      <c r="E2" s="9">
        <f>SUM(C2:C16)</f>
        <v>2076.98</v>
      </c>
    </row>
    <row r="3">
      <c r="A3" s="2"/>
      <c r="B3" s="3" t="s">
        <v>9</v>
      </c>
      <c r="C3" s="4">
        <v>69.2</v>
      </c>
      <c r="D3" s="4">
        <v>2.0</v>
      </c>
      <c r="E3" s="9">
        <f>SUM(C18:C27)</f>
        <v>1374.19</v>
      </c>
    </row>
    <row r="4">
      <c r="A4" s="2"/>
      <c r="B4" s="3" t="s">
        <v>11</v>
      </c>
      <c r="C4" s="4">
        <v>136.04</v>
      </c>
      <c r="D4" s="4">
        <v>2.0</v>
      </c>
      <c r="E4" s="11">
        <f>SUM(C29:C38)</f>
        <v>1317.87</v>
      </c>
    </row>
    <row r="5">
      <c r="A5" s="2"/>
      <c r="B5" s="3" t="s">
        <v>12</v>
      </c>
      <c r="C5" s="4">
        <v>246.7</v>
      </c>
      <c r="D5" s="4">
        <v>5.0</v>
      </c>
      <c r="E5" s="11">
        <f>SUM(C40:C64)</f>
        <v>1620.82</v>
      </c>
    </row>
    <row r="6">
      <c r="A6" s="2"/>
      <c r="B6" s="3" t="s">
        <v>13</v>
      </c>
      <c r="C6" s="4">
        <v>119.92</v>
      </c>
      <c r="D6" s="4">
        <v>2.0</v>
      </c>
      <c r="E6" s="9">
        <f>sum(E2:E5)</f>
        <v>6389.86</v>
      </c>
    </row>
    <row r="7">
      <c r="A7" s="2"/>
      <c r="B7" s="3" t="s">
        <v>14</v>
      </c>
      <c r="C7" s="4">
        <v>100.1</v>
      </c>
      <c r="D7" s="4">
        <v>2.0</v>
      </c>
    </row>
    <row r="8">
      <c r="A8" s="2"/>
      <c r="B8" s="3" t="s">
        <v>15</v>
      </c>
      <c r="C8" s="4">
        <v>226.58</v>
      </c>
      <c r="D8" s="4">
        <v>2.0</v>
      </c>
    </row>
    <row r="9">
      <c r="A9" s="2"/>
      <c r="B9" s="3" t="s">
        <v>16</v>
      </c>
      <c r="C9" s="4">
        <v>75.62</v>
      </c>
      <c r="D9" s="4">
        <v>2.0</v>
      </c>
    </row>
    <row r="10">
      <c r="A10" s="2"/>
      <c r="B10" s="3" t="s">
        <v>17</v>
      </c>
      <c r="C10" s="4">
        <v>157.64</v>
      </c>
      <c r="D10" s="4">
        <v>2.0</v>
      </c>
    </row>
    <row r="11">
      <c r="A11" s="2"/>
      <c r="B11" s="3" t="s">
        <v>20</v>
      </c>
      <c r="C11" s="4">
        <v>97.18</v>
      </c>
      <c r="D11" s="4">
        <v>2.0</v>
      </c>
    </row>
    <row r="12">
      <c r="A12" s="2"/>
      <c r="B12" s="3" t="s">
        <v>21</v>
      </c>
      <c r="C12" s="4">
        <v>114.86</v>
      </c>
      <c r="D12" s="4">
        <v>2.0</v>
      </c>
    </row>
    <row r="13">
      <c r="A13" s="2"/>
      <c r="B13" s="3" t="s">
        <v>22</v>
      </c>
      <c r="C13" s="4">
        <v>109.62</v>
      </c>
      <c r="D13" s="4">
        <v>2.0</v>
      </c>
    </row>
    <row r="14">
      <c r="A14" s="2"/>
      <c r="B14" s="3" t="s">
        <v>23</v>
      </c>
      <c r="C14" s="4">
        <v>78.8</v>
      </c>
      <c r="D14" s="4">
        <v>2.0</v>
      </c>
    </row>
    <row r="15">
      <c r="A15" s="2"/>
      <c r="B15" s="3" t="s">
        <v>24</v>
      </c>
      <c r="C15" s="4">
        <v>163.18</v>
      </c>
      <c r="D15" s="4">
        <v>2.0</v>
      </c>
    </row>
    <row r="16">
      <c r="A16" s="2"/>
      <c r="B16" s="3" t="s">
        <v>27</v>
      </c>
      <c r="C16" s="4">
        <v>274.02</v>
      </c>
      <c r="D16" s="4">
        <v>6.0</v>
      </c>
    </row>
    <row r="17">
      <c r="A17" s="1"/>
      <c r="B17" s="3" t="s">
        <v>28</v>
      </c>
      <c r="C17" s="4">
        <v>109.8</v>
      </c>
      <c r="D17" s="4">
        <v>3.0</v>
      </c>
    </row>
    <row r="18">
      <c r="A18" s="2"/>
      <c r="B18" s="3" t="s">
        <v>29</v>
      </c>
      <c r="C18" s="4">
        <v>191.7</v>
      </c>
      <c r="D18" s="4">
        <v>2.0</v>
      </c>
    </row>
    <row r="19">
      <c r="A19" s="2"/>
      <c r="B19" s="16" t="s">
        <v>30</v>
      </c>
      <c r="C19" s="4">
        <v>162.7</v>
      </c>
      <c r="D19" s="4">
        <v>2.0</v>
      </c>
    </row>
    <row r="20">
      <c r="A20" s="2"/>
      <c r="B20" s="16" t="s">
        <v>31</v>
      </c>
      <c r="C20" s="17">
        <v>146.76</v>
      </c>
      <c r="D20" s="4">
        <v>4.0</v>
      </c>
    </row>
    <row r="21">
      <c r="A21" s="2"/>
      <c r="B21" s="16" t="s">
        <v>33</v>
      </c>
      <c r="C21" s="17">
        <v>115.12</v>
      </c>
      <c r="D21" s="4">
        <v>4.0</v>
      </c>
    </row>
    <row r="22">
      <c r="A22" s="2"/>
      <c r="B22" s="16" t="s">
        <v>34</v>
      </c>
      <c r="C22" s="17">
        <v>64.53</v>
      </c>
      <c r="D22" s="4">
        <v>1.0</v>
      </c>
    </row>
    <row r="23">
      <c r="A23" s="2"/>
      <c r="B23" s="16" t="s">
        <v>36</v>
      </c>
      <c r="C23" s="17">
        <v>123.08</v>
      </c>
      <c r="D23" s="4">
        <v>4.0</v>
      </c>
    </row>
    <row r="24">
      <c r="A24" s="2"/>
      <c r="B24" s="16" t="s">
        <v>37</v>
      </c>
      <c r="C24" s="17">
        <v>63.44</v>
      </c>
      <c r="D24" s="4">
        <v>2.0</v>
      </c>
    </row>
    <row r="25">
      <c r="A25" s="2"/>
      <c r="B25" s="16" t="s">
        <v>38</v>
      </c>
      <c r="C25" s="17">
        <v>218.28</v>
      </c>
      <c r="D25" s="4">
        <v>2.0</v>
      </c>
    </row>
    <row r="26">
      <c r="A26" s="2"/>
      <c r="B26" s="16" t="s">
        <v>39</v>
      </c>
      <c r="C26" s="17">
        <v>100.26</v>
      </c>
      <c r="D26" s="4">
        <v>2.0</v>
      </c>
    </row>
    <row r="27">
      <c r="A27" s="2"/>
      <c r="B27" s="16" t="s">
        <v>40</v>
      </c>
      <c r="C27" s="17">
        <v>188.32</v>
      </c>
      <c r="D27" s="4">
        <v>4.0</v>
      </c>
    </row>
    <row r="28">
      <c r="A28" s="1"/>
      <c r="B28" s="16" t="s">
        <v>41</v>
      </c>
      <c r="C28" s="17">
        <v>239.58</v>
      </c>
      <c r="D28" s="4">
        <v>2.0</v>
      </c>
    </row>
    <row r="29">
      <c r="A29" s="2"/>
      <c r="B29" s="16" t="s">
        <v>42</v>
      </c>
      <c r="C29" s="17">
        <v>217.0</v>
      </c>
      <c r="D29" s="4">
        <v>4.0</v>
      </c>
    </row>
    <row r="30">
      <c r="A30" s="2"/>
      <c r="B30" s="16" t="s">
        <v>43</v>
      </c>
      <c r="C30" s="17">
        <v>62.84</v>
      </c>
      <c r="D30" s="4">
        <v>2.0</v>
      </c>
    </row>
    <row r="31">
      <c r="A31" s="2"/>
      <c r="B31" s="16" t="s">
        <v>44</v>
      </c>
      <c r="C31" s="17">
        <v>64.03</v>
      </c>
      <c r="D31" s="4">
        <v>1.0</v>
      </c>
    </row>
    <row r="32">
      <c r="A32" s="2"/>
      <c r="B32" s="16" t="s">
        <v>45</v>
      </c>
      <c r="C32" s="17">
        <v>93.38</v>
      </c>
      <c r="D32" s="4">
        <v>2.0</v>
      </c>
    </row>
    <row r="33">
      <c r="A33" s="2"/>
      <c r="B33" s="16" t="s">
        <v>46</v>
      </c>
      <c r="C33" s="17">
        <v>131.3</v>
      </c>
      <c r="D33" s="4">
        <v>2.0</v>
      </c>
    </row>
    <row r="34">
      <c r="A34" s="2"/>
      <c r="B34" s="16" t="s">
        <v>47</v>
      </c>
      <c r="C34" s="17">
        <v>192.52</v>
      </c>
      <c r="D34" s="4">
        <v>2.0</v>
      </c>
    </row>
    <row r="35">
      <c r="A35" s="2"/>
      <c r="B35" s="16" t="s">
        <v>48</v>
      </c>
      <c r="C35" s="17">
        <v>115.88</v>
      </c>
      <c r="D35" s="4">
        <v>2.0</v>
      </c>
    </row>
    <row r="36">
      <c r="A36" s="2"/>
      <c r="B36" s="16" t="s">
        <v>51</v>
      </c>
      <c r="C36" s="17">
        <v>198.48</v>
      </c>
      <c r="D36" s="4">
        <v>2.0</v>
      </c>
    </row>
    <row r="37">
      <c r="A37" s="2"/>
      <c r="B37" s="16" t="s">
        <v>52</v>
      </c>
      <c r="C37" s="17">
        <v>82.5</v>
      </c>
      <c r="D37" s="4">
        <v>5.0</v>
      </c>
    </row>
    <row r="38">
      <c r="A38" s="2"/>
      <c r="B38" s="16" t="s">
        <v>53</v>
      </c>
      <c r="C38" s="17">
        <v>159.94</v>
      </c>
      <c r="D38" s="4">
        <v>2.0</v>
      </c>
    </row>
    <row r="39">
      <c r="A39" s="1"/>
      <c r="B39" s="16" t="s">
        <v>54</v>
      </c>
      <c r="C39" s="17">
        <v>101.38</v>
      </c>
      <c r="D39" s="4">
        <v>1.0</v>
      </c>
    </row>
    <row r="40">
      <c r="A40" s="2"/>
      <c r="B40" s="16" t="s">
        <v>55</v>
      </c>
      <c r="C40" s="17">
        <v>37.93</v>
      </c>
      <c r="D40" s="4">
        <v>1.0</v>
      </c>
    </row>
    <row r="41">
      <c r="A41" s="2"/>
      <c r="B41" s="16" t="s">
        <v>56</v>
      </c>
      <c r="C41" s="17">
        <v>93.71</v>
      </c>
      <c r="D41" s="4">
        <v>1.0</v>
      </c>
    </row>
    <row r="42">
      <c r="A42" s="2"/>
      <c r="B42" s="16" t="s">
        <v>57</v>
      </c>
      <c r="C42" s="17">
        <v>60.82</v>
      </c>
      <c r="D42" s="4">
        <v>1.0</v>
      </c>
    </row>
    <row r="43">
      <c r="A43" s="2"/>
      <c r="B43" s="16" t="s">
        <v>58</v>
      </c>
      <c r="C43" s="17">
        <v>76.78</v>
      </c>
      <c r="D43" s="4">
        <v>1.0</v>
      </c>
    </row>
    <row r="44">
      <c r="A44" s="2"/>
      <c r="B44" s="16" t="s">
        <v>60</v>
      </c>
      <c r="C44" s="17">
        <v>38.64</v>
      </c>
      <c r="D44" s="4">
        <v>2.0</v>
      </c>
    </row>
    <row r="45">
      <c r="A45" s="2"/>
      <c r="B45" s="16" t="s">
        <v>62</v>
      </c>
      <c r="C45" s="17">
        <v>95.01</v>
      </c>
      <c r="D45" s="4">
        <v>1.0</v>
      </c>
    </row>
    <row r="46">
      <c r="A46" s="2"/>
      <c r="B46" s="16" t="s">
        <v>63</v>
      </c>
      <c r="C46" s="17">
        <v>49.62</v>
      </c>
      <c r="D46" s="4">
        <v>1.0</v>
      </c>
    </row>
    <row r="47">
      <c r="A47" s="2"/>
      <c r="B47" s="16" t="s">
        <v>64</v>
      </c>
      <c r="C47" s="17">
        <v>23.37</v>
      </c>
      <c r="D47" s="4">
        <v>1.0</v>
      </c>
    </row>
    <row r="48">
      <c r="A48" s="2"/>
      <c r="B48" s="16" t="s">
        <v>65</v>
      </c>
      <c r="C48" s="17">
        <v>22.48</v>
      </c>
      <c r="D48" s="4">
        <v>1.0</v>
      </c>
    </row>
    <row r="49">
      <c r="A49" s="2"/>
      <c r="B49" s="16" t="s">
        <v>66</v>
      </c>
      <c r="C49" s="17">
        <v>72.92</v>
      </c>
      <c r="D49" s="4">
        <v>1.0</v>
      </c>
    </row>
    <row r="50">
      <c r="A50" s="2"/>
      <c r="B50" s="16" t="s">
        <v>67</v>
      </c>
      <c r="C50" s="17">
        <v>75.0</v>
      </c>
      <c r="D50" s="4">
        <v>2.0</v>
      </c>
    </row>
    <row r="51">
      <c r="A51" s="2"/>
      <c r="B51" s="16" t="s">
        <v>68</v>
      </c>
      <c r="C51" s="17">
        <v>41.28</v>
      </c>
      <c r="D51" s="4">
        <v>1.0</v>
      </c>
    </row>
    <row r="52">
      <c r="A52" s="2"/>
      <c r="B52" s="16" t="s">
        <v>69</v>
      </c>
      <c r="C52" s="17">
        <v>70.42</v>
      </c>
      <c r="D52" s="4">
        <v>1.0</v>
      </c>
    </row>
    <row r="53">
      <c r="A53" s="2"/>
      <c r="B53" s="16" t="s">
        <v>70</v>
      </c>
      <c r="C53" s="17">
        <v>63.0</v>
      </c>
      <c r="D53" s="4">
        <v>1.0</v>
      </c>
    </row>
    <row r="54">
      <c r="A54" s="2"/>
      <c r="B54" s="16" t="s">
        <v>71</v>
      </c>
      <c r="C54" s="17">
        <v>40.06</v>
      </c>
      <c r="D54" s="4">
        <v>1.0</v>
      </c>
    </row>
    <row r="55">
      <c r="A55" s="2"/>
      <c r="B55" s="16" t="s">
        <v>72</v>
      </c>
      <c r="C55" s="17">
        <v>92.77</v>
      </c>
      <c r="D55" s="4">
        <v>2.0</v>
      </c>
    </row>
    <row r="56">
      <c r="A56" s="2"/>
      <c r="B56" s="16" t="s">
        <v>74</v>
      </c>
      <c r="C56" s="17">
        <v>53.34</v>
      </c>
      <c r="D56" s="4">
        <v>1.0</v>
      </c>
    </row>
    <row r="57">
      <c r="A57" s="2"/>
      <c r="B57" s="16" t="s">
        <v>76</v>
      </c>
      <c r="C57" s="17">
        <v>54.29</v>
      </c>
      <c r="D57" s="4">
        <v>1.0</v>
      </c>
    </row>
    <row r="58">
      <c r="A58" s="2"/>
      <c r="B58" s="16" t="s">
        <v>77</v>
      </c>
      <c r="C58" s="17">
        <v>198.11</v>
      </c>
      <c r="D58" s="4">
        <v>2.0</v>
      </c>
    </row>
    <row r="59">
      <c r="A59" s="2"/>
      <c r="B59" s="16" t="s">
        <v>78</v>
      </c>
      <c r="C59" s="17">
        <v>126.84</v>
      </c>
      <c r="D59" s="4">
        <v>1.0</v>
      </c>
    </row>
    <row r="60">
      <c r="A60" s="2"/>
      <c r="B60" s="16" t="s">
        <v>79</v>
      </c>
      <c r="C60" s="17">
        <v>59.48</v>
      </c>
      <c r="D60" s="4">
        <v>1.0</v>
      </c>
    </row>
    <row r="61">
      <c r="A61" s="2"/>
      <c r="B61" s="16" t="s">
        <v>80</v>
      </c>
      <c r="C61" s="17">
        <v>49.79</v>
      </c>
      <c r="D61" s="4">
        <v>1.0</v>
      </c>
    </row>
    <row r="62">
      <c r="A62" s="2"/>
      <c r="B62" s="16" t="s">
        <v>81</v>
      </c>
      <c r="C62" s="17">
        <v>48.44</v>
      </c>
      <c r="D62" s="4">
        <v>1.0</v>
      </c>
    </row>
    <row r="63">
      <c r="A63" s="2"/>
      <c r="B63" s="16" t="s">
        <v>82</v>
      </c>
      <c r="C63" s="17">
        <v>38.04</v>
      </c>
      <c r="D63" s="4">
        <v>1.0</v>
      </c>
    </row>
    <row r="64">
      <c r="A64" s="2"/>
      <c r="B64" s="3" t="s">
        <v>83</v>
      </c>
      <c r="C64" s="17">
        <v>38.68</v>
      </c>
      <c r="D64" s="4">
        <v>1.0</v>
      </c>
    </row>
  </sheetData>
  <drawing r:id="rId1"/>
</worksheet>
</file>